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d1e8a7d3b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c257349bdaec4fc2"/>
    <x:sheet xmlns:r="http://schemas.openxmlformats.org/officeDocument/2006/relationships" name="Region guide" sheetId="2" r:id="R7898531722c2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5"/>
      <x:color rgb="FF17365D"/>
      <x:name val="Arial"/>
    </x:font>
    <x:font>
      <x:b/>
      <x:sz val="10"/>
      <x:name val="Arial"/>
    </x:font>
    <x:font>
      <x:b/>
      <x:sz val="11"/>
      <x:color rgb="FF17365D"/>
      <x:name val="Arial"/>
    </x:font>
    <x:font>
      <x:i/>
      <x:sz val="10"/>
      <x:color rgb="FF59595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b/>
      <x:sz val="10"/>
      <x:color rgb="FFB91C1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F9D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7" fillId="4" borderId="0" xfId="0" applyNumberFormat="1" applyFont="1" applyFill="1" applyBorder="1"/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1535763a044ad" /><Relationship Type="http://schemas.openxmlformats.org/officeDocument/2006/relationships/theme" Target="/xl/theme/theme1.xml" Id="R29c11d5bc8d74575" /><Relationship Type="http://schemas.openxmlformats.org/officeDocument/2006/relationships/sharedStrings" Target="/xl/sharedStrings.xml" Id="R81309ed79f754197" /><Relationship Type="http://schemas.openxmlformats.org/officeDocument/2006/relationships/worksheet" Target="/xl/worksheets/sheet1.xml" Id="Rc257349bdaec4fc2" /><Relationship Type="http://schemas.openxmlformats.org/officeDocument/2006/relationships/worksheet" Target="/xl/worksheets/sheet2.xml" Id="R7898531722c24ef1" /></Relationships>
</file>

<file path=xl/tables/table1.xml><?xml version="1.0" encoding="utf-8"?>
<x:table xmlns:x="http://schemas.openxmlformats.org/spreadsheetml/2006/main" id="1" name="MemberEnrichmentReview" displayName="MemberEnrichmentReview" ref="A8:AA234" headerRowCount="1" totalsRowCount="0" totalsRowShown="0">
  <x:tableColumns count="27">
    <x:tableColumn id="1" name="Person ID"/>
    <x:tableColumn id="2" name="Current display name"/>
    <x:tableColumn id="3" name="Current given name"/>
    <x:tableColumn id="4" name="Current surname"/>
    <x:tableColumn id="5" name="Primary email"/>
    <x:tableColumn id="6" name="Email domain"/>
    <x:tableColumn id="7" name="Current institution"/>
    <x:tableColumn id="8" name="Current region"/>
    <x:tableColumn id="9" name="Country"/>
    <x:tableColumn id="10" name="State/province"/>
    <x:tableColumn id="11" name="Expiration year"/>
    <x:tableColumn id="12" name="Proposed display name"/>
    <x:tableColumn id="13" name="Proposed given name"/>
    <x:tableColumn id="14" name="Proposed surname"/>
    <x:tableColumn id="15" name="Name confidence"/>
    <x:tableColumn id="16" name="Name evidence"/>
    <x:tableColumn id="17" name="Proposed institution"/>
    <x:tableColumn id="18" name="Institution confidence"/>
    <x:tableColumn id="19" name="Institution evidence"/>
    <x:tableColumn id="20" name="Proposed region"/>
    <x:tableColumn id="21" name="Region confidence"/>
    <x:tableColumn id="22" name="Region evidence"/>
    <x:tableColumn id="23" name="Source URL"/>
    <x:tableColumn id="24" name="Change type"/>
    <x:tableColumn id="25" name="Review status"/>
    <x:tableColumn id="26" name="Reviewer decision"/>
    <x:tableColumn id="27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Vocabulary" displayName="RegionVocabulary" ref="A4:C16" headerRowCount="1" totalsRowCount="0" totalsRowShown="0">
  <x:tableColumns count="3">
    <x:tableColumn id="1" name="Region"/>
    <x:tableColumn id="2" name="Definition"/>
    <x:tableColumn id="3" name="Assignment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08db185f5146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350931b0704f69" /></Relationships>
</file>

<file path=xl/worksheets/sheet1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30" hidden="0" customWidth="1"/>
    <x:col min="6" max="6" width="22" hidden="0" customWidth="1"/>
    <x:col min="7" max="7" width="28" hidden="0" customWidth="1"/>
    <x:col min="8" max="8" width="18" hidden="0" customWidth="1"/>
    <x:col min="9" max="9" width="14" hidden="0" customWidth="1"/>
    <x:col min="10" max="10" width="15" hidden="0" customWidth="1"/>
    <x:col min="11" max="11" width="13" hidden="0" customWidth="1"/>
    <x:col min="12" max="12" width="24" hidden="0" customWidth="1"/>
    <x:col min="13" max="13" width="18" hidden="0" customWidth="1"/>
    <x:col min="14" max="14" width="18" hidden="0" customWidth="1"/>
    <x:col min="15" max="15" width="14" hidden="0" customWidth="1"/>
    <x:col min="16" max="16" width="42" hidden="0" customWidth="1"/>
    <x:col min="17" max="17" width="32" hidden="0" customWidth="1"/>
    <x:col min="18" max="18" width="18" hidden="0" customWidth="1"/>
    <x:col min="19" max="19" width="44" hidden="0" customWidth="1"/>
    <x:col min="20" max="20" width="26" hidden="0" customWidth="1"/>
    <x:col min="21" max="21" width="16" hidden="0" customWidth="1"/>
    <x:col min="22" max="22" width="34" hidden="0" customWidth="1"/>
    <x:col min="23" max="23" width="44" hidden="0" customWidth="1"/>
    <x:col min="24" max="24" width="20" hidden="0" customWidth="1"/>
    <x:col min="25" max="25" width="18" hidden="0" customWidth="1"/>
    <x:col min="26" max="26" width="20" hidden="0" customWidth="1"/>
    <x:col min="27" max="27" width="36" hidden="0" customWidth="1"/>
  </x:cols>
  <x:sheetData>
    <x:row r="2" ht="24" customHeight="1">
      <x:c r="A2" s="1" t="str">
        <x:v>Current paid members: enrichment review</x:v>
      </x:c>
    </x:row>
    <x:row r="3">
      <x:c r="A3" s="3" t="str">
        <x:v>Members</x:v>
      </x:c>
      <x:c r="B3" s="6" t="n">
        <x:f>COUNTA(A9:A234)</x:f>
        <x:v>226</x:v>
      </x:c>
      <x:c r="C3" s="3" t="str">
        <x:v>Proposed changes</x:v>
      </x:c>
      <x:c r="D3" s="3" t="n">
        <x:f>COUNTIF(Y9:Y234,"Proposed change")</x:f>
        <x:v>144</x:v>
      </x:c>
      <x:c r="E3" s="3" t="str">
        <x:v>Needs research</x:v>
      </x:c>
      <x:c r="F3" s="3" t="n">
        <x:f>COUNTIF(Y9:Y234,"Needs research")</x:f>
        <x:v>66</x:v>
      </x:c>
      <x:c r="G3" s="3" t="str">
        <x:v>No change proposed</x:v>
      </x:c>
      <x:c r="H3" s="3" t="n">
        <x:f>COUNTIF(Y9:Y234,"No change proposed")</x:f>
        <x:v>16</x:v>
      </x:c>
    </x:row>
    <x:row r="5" ht="22" customHeight="1">
      <x:c r="A5" s="7" t="str">
        <x:v>Proposals do not alter the membership database. Medium-confidence institutional-domain matches require current-profile verification before approval.</x:v>
      </x:c>
    </x:row>
    <x:row r="8" ht="34" customHeight="1">
      <x:c r="A8" s="13" t="str">
        <x:v>Person ID</x:v>
      </x:c>
      <x:c r="B8" s="13" t="str">
        <x:v>Current display name</x:v>
      </x:c>
      <x:c r="C8" s="13" t="str">
        <x:v>Current given name</x:v>
      </x:c>
      <x:c r="D8" s="13" t="str">
        <x:v>Current surname</x:v>
      </x:c>
      <x:c r="E8" s="13" t="str">
        <x:v>Primary email</x:v>
      </x:c>
      <x:c r="F8" s="13" t="str">
        <x:v>Email domain</x:v>
      </x:c>
      <x:c r="G8" s="13" t="str">
        <x:v>Current institution</x:v>
      </x:c>
      <x:c r="H8" s="13" t="str">
        <x:v>Current region</x:v>
      </x:c>
      <x:c r="I8" s="13" t="str">
        <x:v>Country</x:v>
      </x:c>
      <x:c r="J8" s="13" t="str">
        <x:v>State/province</x:v>
      </x:c>
      <x:c r="K8" s="13" t="str">
        <x:v>Expiration year</x:v>
      </x:c>
      <x:c r="L8" s="13" t="str">
        <x:v>Proposed display name</x:v>
      </x:c>
      <x:c r="M8" s="13" t="str">
        <x:v>Proposed given name</x:v>
      </x:c>
      <x:c r="N8" s="13" t="str">
        <x:v>Proposed surname</x:v>
      </x:c>
      <x:c r="O8" s="13" t="str">
        <x:v>Name confidence</x:v>
      </x:c>
      <x:c r="P8" s="13" t="str">
        <x:v>Name evidence</x:v>
      </x:c>
      <x:c r="Q8" s="13" t="str">
        <x:v>Proposed institution</x:v>
      </x:c>
      <x:c r="R8" s="13" t="str">
        <x:v>Institution confidence</x:v>
      </x:c>
      <x:c r="S8" s="13" t="str">
        <x:v>Institution evidence</x:v>
      </x:c>
      <x:c r="T8" s="13" t="str">
        <x:v>Proposed region</x:v>
      </x:c>
      <x:c r="U8" s="13" t="str">
        <x:v>Region confidence</x:v>
      </x:c>
      <x:c r="V8" s="13" t="str">
        <x:v>Region evidence</x:v>
      </x:c>
      <x:c r="W8" s="13" t="str">
        <x:v>Source URL</x:v>
      </x:c>
      <x:c r="X8" s="13" t="str">
        <x:v>Change type</x:v>
      </x:c>
      <x:c r="Y8" s="13" t="str">
        <x:v>Review status</x:v>
      </x:c>
      <x:c r="Z8" s="13" t="str">
        <x:v>Reviewer decision</x:v>
      </x:c>
      <x:c r="AA8" s="13" t="str">
        <x:v>Reviewer notes</x:v>
      </x:c>
    </x:row>
    <x:row r="9">
      <x:c r="A9" s="8" t="str">
        <x:v>SAGP000869</x:v>
      </x:c>
      <x:c r="B9" s="8" t="str">
        <x:v>Aidan Foucher</x:v>
      </x:c>
      <x:c r="C9" s="8" t="str">
        <x:v>Aidan</x:v>
      </x:c>
      <x:c r="D9" s="8" t="str">
        <x:v>Foucher</x:v>
      </x:c>
      <x:c r="E9" s="8" t="str">
        <x:v>afoucher@lion.lmu.edu</x:v>
      </x:c>
      <x:c r="F9" s="8" t="str">
        <x:v>lion.lmu.edu</x:v>
      </x:c>
      <x:c r="G9" s="8" t="str">
        <x:v>Loyola Marymount</x:v>
      </x:c>
      <x:c r="H9" s="8" t="str"/>
      <x:c r="I9" s="8" t="str">
        <x:v>US</x:v>
      </x:c>
      <x:c r="J9" s="8" t="str">
        <x:v>TX</x:v>
      </x:c>
      <x:c r="K9" s="14" t="n">
        <x:v>2026</x:v>
      </x:c>
      <x:c r="L9" s="8" t="str">
        <x:v>Aidan Foucher</x:v>
      </x:c>
      <x:c r="M9" s="8" t="str">
        <x:v>Aidan</x:v>
      </x:c>
      <x:c r="N9" s="8" t="str">
        <x:v>Foucher</x:v>
      </x:c>
      <x:c r="O9" s="8" t="str"/>
      <x:c r="P9" s="15" t="str"/>
      <x:c r="Q9" s="8" t="str">
        <x:v>Loyola Marymount</x:v>
      </x:c>
      <x:c r="R9" s="8" t="str">
        <x:v>Existing</x:v>
      </x:c>
      <x:c r="S9" s="15" t="str">
        <x:v>Existing database value</x:v>
      </x:c>
      <x:c r="T9" s="8" t="str">
        <x:v>USA Central</x:v>
      </x:c>
      <x:c r="U9" s="8" t="str">
        <x:v>High</x:v>
      </x:c>
      <x:c r="V9" s="15" t="str">
        <x:v>Existing country and state</x:v>
      </x:c>
      <x:c r="W9" s="8" t="str"/>
      <x:c r="X9" s="8" t="str">
        <x:v>Region</x:v>
      </x:c>
      <x:c r="Y9" s="17" t="str">
        <x:v>Proposed change</x:v>
      </x:c>
      <x:c r="Z9" s="20" t="str"/>
      <x:c r="AA9" s="21" t="str"/>
    </x:row>
    <x:row r="10">
      <x:c r="A10" s="8" t="str">
        <x:v>SAGP000537</x:v>
      </x:c>
      <x:c r="B10" s="8" t="str">
        <x:v>Aimee Koeplin</x:v>
      </x:c>
      <x:c r="C10" s="8" t="str">
        <x:v>Aimee</x:v>
      </x:c>
      <x:c r="D10" s="8" t="str">
        <x:v>Koeplin</x:v>
      </x:c>
      <x:c r="E10" s="8" t="str">
        <x:v>akoeplin@msmu.edu</x:v>
      </x:c>
      <x:c r="F10" s="8" t="str">
        <x:v>msmu.edu</x:v>
      </x:c>
      <x:c r="G10" s="8" t="str"/>
      <x:c r="H10" s="8" t="str"/>
      <x:c r="I10" s="8" t="str">
        <x:v>US</x:v>
      </x:c>
      <x:c r="J10" s="8" t="str">
        <x:v>CA</x:v>
      </x:c>
      <x:c r="K10" s="14" t="n">
        <x:v>2025</x:v>
      </x:c>
      <x:c r="L10" s="8" t="str">
        <x:v>Aimee Koeplin</x:v>
      </x:c>
      <x:c r="M10" s="8" t="str">
        <x:v>Aimee</x:v>
      </x:c>
      <x:c r="N10" s="8" t="str">
        <x:v>Koeplin</x:v>
      </x:c>
      <x:c r="O10" s="8" t="str"/>
      <x:c r="P10" s="15" t="str"/>
      <x:c r="Q10" s="8" t="str">
        <x:v>Mount Saint Mary's University</x:v>
      </x:c>
      <x:c r="R10" s="8" t="str">
        <x:v>High</x:v>
      </x:c>
      <x:c r="S10" s="15" t="str">
        <x:v>Official Mount Saint Mary's University directory lists Aimee Koeplin.</x:v>
      </x:c>
      <x:c r="T10" s="8" t="str">
        <x:v>USA Western</x:v>
      </x:c>
      <x:c r="U10" s="8" t="str">
        <x:v>High</x:v>
      </x:c>
      <x:c r="V10" s="15" t="str">
        <x:v>Existing country and state</x:v>
      </x:c>
      <x:c r="W10" s="8" t="str">
        <x:v>https://www.msmu.edu/directory/?letter=k</x:v>
      </x:c>
      <x:c r="X10" s="8" t="str">
        <x:v>Institution, Region</x:v>
      </x:c>
      <x:c r="Y10" s="17" t="str">
        <x:v>Proposed change</x:v>
      </x:c>
      <x:c r="Z10" s="20" t="str"/>
      <x:c r="AA10" s="21" t="str"/>
    </x:row>
    <x:row r="11">
      <x:c r="A11" s="8" t="str">
        <x:v>SAGP001821</x:v>
      </x:c>
      <x:c r="B11" s="8" t="str">
        <x:v>Alex Lee</x:v>
      </x:c>
      <x:c r="C11" s="8" t="str">
        <x:v>Alex</x:v>
      </x:c>
      <x:c r="D11" s="8" t="str">
        <x:v>Lee</x:v>
      </x:c>
      <x:c r="E11" s="8" t="str">
        <x:v>lee7ag@jmu.edu</x:v>
      </x:c>
      <x:c r="F11" s="8" t="str">
        <x:v>jmu.edu</x:v>
      </x:c>
      <x:c r="G11" s="8" t="str">
        <x:v>James Madison University</x:v>
      </x:c>
      <x:c r="H11" s="8" t="str"/>
      <x:c r="I11" s="8" t="str"/>
      <x:c r="J11" s="8" t="str"/>
      <x:c r="K11" s="14" t="n">
        <x:v>2029</x:v>
      </x:c>
      <x:c r="L11" s="8" t="str">
        <x:v>Alex Lee</x:v>
      </x:c>
      <x:c r="M11" s="8" t="str">
        <x:v>Alex</x:v>
      </x:c>
      <x:c r="N11" s="8" t="str">
        <x:v>Lee</x:v>
      </x:c>
      <x:c r="O11" s="8" t="str"/>
      <x:c r="P11" s="15" t="str"/>
      <x:c r="Q11" s="8" t="str">
        <x:v>James Madison University</x:v>
      </x:c>
      <x:c r="R11" s="8" t="str">
        <x:v>Existing</x:v>
      </x:c>
      <x:c r="S11" s="15" t="str">
        <x:v>Existing database value</x:v>
      </x:c>
      <x:c r="T11" s="8" t="str"/>
      <x:c r="U11" s="8" t="str"/>
      <x:c r="V11" s="15" t="str"/>
      <x:c r="W11" s="8" t="str"/>
      <x:c r="X11" s="8" t="str"/>
      <x:c r="Y11" s="19" t="str">
        <x:v>Needs research</x:v>
      </x:c>
      <x:c r="Z11" s="20" t="str"/>
      <x:c r="AA11" s="21" t="str"/>
    </x:row>
    <x:row r="12">
      <x:c r="A12" s="8" t="str">
        <x:v>SAGP000031</x:v>
      </x:c>
      <x:c r="B12" s="8" t="str">
        <x:v>Alexander Nehamas</x:v>
      </x:c>
      <x:c r="C12" s="8" t="str">
        <x:v>Alexander</x:v>
      </x:c>
      <x:c r="D12" s="8" t="str">
        <x:v>Nehamas</x:v>
      </x:c>
      <x:c r="E12" s="8" t="str">
        <x:v>nehamas@princeton.edu</x:v>
      </x:c>
      <x:c r="F12" s="8" t="str">
        <x:v>princeton.edu</x:v>
      </x:c>
      <x:c r="G12" s="8" t="str"/>
      <x:c r="H12" s="8" t="str"/>
      <x:c r="I12" s="8" t="str"/>
      <x:c r="J12" s="8" t="str"/>
      <x:c r="K12" s="14" t="n">
        <x:v>2025</x:v>
      </x:c>
      <x:c r="L12" s="8" t="str">
        <x:v>Alexander Nehamas</x:v>
      </x:c>
      <x:c r="M12" s="8" t="str">
        <x:v>Alexander</x:v>
      </x:c>
      <x:c r="N12" s="8" t="str">
        <x:v>Nehamas</x:v>
      </x:c>
      <x:c r="O12" s="8" t="str"/>
      <x:c r="P12" s="15" t="str"/>
      <x:c r="Q12" s="8" t="str">
        <x:v>Princeton University</x:v>
      </x:c>
      <x:c r="R12" s="8" t="str">
        <x:v>High</x:v>
      </x:c>
      <x:c r="S12" s="15" t="str">
        <x:v>Official Princeton faculty profile</x:v>
      </x:c>
      <x:c r="T12" s="8" t="str"/>
      <x:c r="U12" s="8" t="str"/>
      <x:c r="V12" s="15" t="str"/>
      <x:c r="W12" s="8" t="str">
        <x:v>https://faculty.princeton.edu/people/alexander-nehamas</x:v>
      </x:c>
      <x:c r="X12" s="8" t="str">
        <x:v>Institution</x:v>
      </x:c>
      <x:c r="Y12" s="17" t="str">
        <x:v>Proposed change</x:v>
      </x:c>
      <x:c r="Z12" s="20" t="str"/>
      <x:c r="AA12" s="21" t="str"/>
    </x:row>
    <x:row r="13">
      <x:c r="A13" s="8" t="str">
        <x:v>SAGP000872</x:v>
      </x:c>
      <x:c r="B13" s="8" t="str">
        <x:v>Alina Beary</x:v>
      </x:c>
      <x:c r="C13" s="8" t="str">
        <x:v>Alina</x:v>
      </x:c>
      <x:c r="D13" s="8" t="str">
        <x:v>Beary</x:v>
      </x:c>
      <x:c r="E13" s="8" t="str"/>
      <x:c r="F13" s="8" t="str"/>
      <x:c r="G13" s="8" t="str"/>
      <x:c r="H13" s="8" t="str"/>
      <x:c r="I13" s="8" t="str">
        <x:v>US</x:v>
      </x:c>
      <x:c r="J13" s="8" t="str">
        <x:v>TX</x:v>
      </x:c>
      <x:c r="K13" s="14" t="n">
        <x:v>2034</x:v>
      </x:c>
      <x:c r="L13" s="8" t="str">
        <x:v>Alina Beary</x:v>
      </x:c>
      <x:c r="M13" s="8" t="str">
        <x:v>Alina</x:v>
      </x:c>
      <x:c r="N13" s="8" t="str">
        <x:v>Beary</x:v>
      </x:c>
      <x:c r="O13" s="8" t="str"/>
      <x:c r="P13" s="15" t="str"/>
      <x:c r="Q13" s="8" t="str"/>
      <x:c r="R13" s="8" t="str"/>
      <x:c r="S13" s="15" t="str"/>
      <x:c r="T13" s="8" t="str">
        <x:v>USA Central</x:v>
      </x:c>
      <x:c r="U13" s="8" t="str">
        <x:v>High</x:v>
      </x:c>
      <x:c r="V13" s="15" t="str">
        <x:v>Existing country and state</x:v>
      </x:c>
      <x:c r="W13" s="8" t="str"/>
      <x:c r="X13" s="8" t="str">
        <x:v>Region</x:v>
      </x:c>
      <x:c r="Y13" s="17" t="str">
        <x:v>Proposed change</x:v>
      </x:c>
      <x:c r="Z13" s="20" t="str"/>
      <x:c r="AA13" s="21" t="str"/>
    </x:row>
    <x:row r="14">
      <x:c r="A14" s="8" t="str">
        <x:v>SAGP000695</x:v>
      </x:c>
      <x:c r="B14" s="8" t="str">
        <x:v>Allan Silverman</x:v>
      </x:c>
      <x:c r="C14" s="8" t="str">
        <x:v>Allan</x:v>
      </x:c>
      <x:c r="D14" s="8" t="str">
        <x:v>Silverman</x:v>
      </x:c>
      <x:c r="E14" s="8" t="str">
        <x:v>silverman.3@osu.edu</x:v>
      </x:c>
      <x:c r="F14" s="8" t="str">
        <x:v>osu.edu</x:v>
      </x:c>
      <x:c r="G14" s="8" t="str"/>
      <x:c r="H14" s="8" t="str"/>
      <x:c r="I14" s="8" t="str"/>
      <x:c r="J14" s="8" t="str"/>
      <x:c r="K14" s="14" t="n">
        <x:v>2029</x:v>
      </x:c>
      <x:c r="L14" s="8" t="str">
        <x:v>Allan Silverman</x:v>
      </x:c>
      <x:c r="M14" s="8" t="str">
        <x:v>Allan</x:v>
      </x:c>
      <x:c r="N14" s="8" t="str">
        <x:v>Silverman</x:v>
      </x:c>
      <x:c r="O14" s="8" t="str"/>
      <x:c r="P14" s="15" t="str"/>
      <x:c r="Q14" s="8" t="str">
        <x:v>The Ohio State University</x:v>
      </x:c>
      <x:c r="R14" s="8" t="str">
        <x:v>High</x:v>
      </x:c>
      <x:c r="S14" s="15" t="str">
        <x:v>Official Ohio State profile lists Allan Silverman and the same email address; professor emeritus.</x:v>
      </x:c>
      <x:c r="T14" s="8" t="str"/>
      <x:c r="U14" s="8" t="str"/>
      <x:c r="V14" s="15" t="str"/>
      <x:c r="W14" s="8" t="str">
        <x:v>https://philosophy.osu.edu/people/silverman.3</x:v>
      </x:c>
      <x:c r="X14" s="8" t="str">
        <x:v>Institution</x:v>
      </x:c>
      <x:c r="Y14" s="17" t="str">
        <x:v>Proposed change</x:v>
      </x:c>
      <x:c r="Z14" s="20" t="str"/>
      <x:c r="AA14" s="21" t="str"/>
    </x:row>
    <x:row r="15">
      <x:c r="A15" s="8" t="str">
        <x:v>SAGP000667</x:v>
      </x:c>
      <x:c r="B15" s="8" t="str">
        <x:v>Allison Murphy</x:v>
      </x:c>
      <x:c r="C15" s="8" t="str">
        <x:v>Allison</x:v>
      </x:c>
      <x:c r="D15" s="8" t="str">
        <x:v>Murphy</x:v>
      </x:c>
      <x:c r="E15" s="8" t="str">
        <x:v>amurphy@carleton.edu</x:v>
      </x:c>
      <x:c r="F15" s="8" t="str">
        <x:v>carleton.edu</x:v>
      </x:c>
      <x:c r="G15" s="8" t="str"/>
      <x:c r="H15" s="8" t="str"/>
      <x:c r="I15" s="8" t="str"/>
      <x:c r="J15" s="8" t="str"/>
      <x:c r="K15" s="14" t="n">
        <x:v>2030</x:v>
      </x:c>
      <x:c r="L15" s="8" t="str">
        <x:v>Allison Murphy</x:v>
      </x:c>
      <x:c r="M15" s="8" t="str">
        <x:v>Allison</x:v>
      </x:c>
      <x:c r="N15" s="8" t="str">
        <x:v>Murphy</x:v>
      </x:c>
      <x:c r="O15" s="8" t="str"/>
      <x:c r="P15" s="15" t="str"/>
      <x:c r="Q15" s="8" t="str">
        <x:v>Carleton College</x:v>
      </x:c>
      <x:c r="R15" s="8" t="str">
        <x:v>High</x:v>
      </x:c>
      <x:c r="S15" s="15" t="str">
        <x:v>Official Carleton publication identifies Allison Murphy as Assistant Professor of Philosophy.</x:v>
      </x:c>
      <x:c r="T15" s="8" t="str"/>
      <x:c r="U15" s="8" t="str"/>
      <x:c r="V15" s="15" t="str"/>
      <x:c r="W15" s="8" t="str">
        <x:v>https://cdn.carleton.edu/uploads/sites/557/2021/02/The-Bi-Weekly-Advising-Bulletin-Weeks-5-6-Winter-Term-2021-Revised.pdf</x:v>
      </x:c>
      <x:c r="X15" s="8" t="str">
        <x:v>Institution</x:v>
      </x:c>
      <x:c r="Y15" s="17" t="str">
        <x:v>Proposed change</x:v>
      </x:c>
      <x:c r="Z15" s="20" t="str"/>
      <x:c r="AA15" s="21" t="str"/>
    </x:row>
    <x:row r="16">
      <x:c r="A16" s="8" t="str">
        <x:v>SAGP000957</x:v>
      </x:c>
      <x:c r="B16" s="8" t="str">
        <x:v>Andre Archie</x:v>
      </x:c>
      <x:c r="C16" s="8" t="str">
        <x:v>Andre</x:v>
      </x:c>
      <x:c r="D16" s="8" t="str">
        <x:v>Archie</x:v>
      </x:c>
      <x:c r="E16" s="8" t="str">
        <x:v>andrarchie@msn.com</x:v>
      </x:c>
      <x:c r="F16" s="8" t="str">
        <x:v>msn.com</x:v>
      </x:c>
      <x:c r="G16" s="8" t="str"/>
      <x:c r="H16" s="8" t="str"/>
      <x:c r="I16" s="8" t="str"/>
      <x:c r="J16" s="8" t="str"/>
      <x:c r="K16" s="14" t="n">
        <x:v>2025</x:v>
      </x:c>
      <x:c r="L16" s="8" t="str">
        <x:v>Andre Archie</x:v>
      </x:c>
      <x:c r="M16" s="8" t="str">
        <x:v>Andre</x:v>
      </x:c>
      <x:c r="N16" s="8" t="str">
        <x:v>Archie</x:v>
      </x:c>
      <x:c r="O16" s="8" t="str"/>
      <x:c r="P16" s="15" t="str"/>
      <x:c r="Q16" s="8" t="str"/>
      <x:c r="R16" s="8" t="str"/>
      <x:c r="S16" s="15" t="str"/>
      <x:c r="T16" s="8" t="str"/>
      <x:c r="U16" s="8" t="str"/>
      <x:c r="V16" s="15" t="str"/>
      <x:c r="W16" s="8" t="str"/>
      <x:c r="X16" s="8" t="str"/>
      <x:c r="Y16" s="19" t="str">
        <x:v>Needs research</x:v>
      </x:c>
      <x:c r="Z16" s="20" t="str"/>
      <x:c r="AA16" s="21" t="str"/>
    </x:row>
    <x:row r="17">
      <x:c r="A17" s="8" t="str">
        <x:v>SAGP001365</x:v>
      </x:c>
      <x:c r="B17" s="8" t="str">
        <x:v>Andreas Spyridon Michalakopoulos</x:v>
      </x:c>
      <x:c r="C17" s="8" t="str">
        <x:v>Andreas</x:v>
      </x:c>
      <x:c r="D17" s="8" t="str">
        <x:v>Michalakopoulos</x:v>
      </x:c>
      <x:c r="E17" s="8" t="str">
        <x:v>michalan@student.eursc.eu</x:v>
      </x:c>
      <x:c r="F17" s="8" t="str">
        <x:v>student.eursc.eu</x:v>
      </x:c>
      <x:c r="G17" s="8" t="str"/>
      <x:c r="H17" s="8" t="str"/>
      <x:c r="I17" s="8" t="str"/>
      <x:c r="J17" s="8" t="str"/>
      <x:c r="K17" s="14" t="n">
        <x:v>2025</x:v>
      </x:c>
      <x:c r="L17" s="8" t="str">
        <x:v>Andreas Spyridon Michalakopoulos</x:v>
      </x:c>
      <x:c r="M17" s="8" t="str">
        <x:v>Andreas</x:v>
      </x:c>
      <x:c r="N17" s="8" t="str">
        <x:v>Michalakopoulos</x:v>
      </x:c>
      <x:c r="O17" s="8" t="str"/>
      <x:c r="P17" s="15" t="str"/>
      <x:c r="Q17" s="8" t="str"/>
      <x:c r="R17" s="8" t="str"/>
      <x:c r="S17" s="15" t="str"/>
      <x:c r="T17" s="8" t="str"/>
      <x:c r="U17" s="8" t="str"/>
      <x:c r="V17" s="15" t="str"/>
      <x:c r="W17" s="8" t="str"/>
      <x:c r="X17" s="8" t="str"/>
      <x:c r="Y17" s="19" t="str">
        <x:v>Needs research</x:v>
      </x:c>
      <x:c r="Z17" s="20" t="str"/>
      <x:c r="AA17" s="21" t="str"/>
    </x:row>
    <x:row r="18">
      <x:c r="A18" s="8" t="str">
        <x:v>SAGP000337</x:v>
      </x:c>
      <x:c r="B18" s="8" t="str">
        <x:v>Andrew Payne</x:v>
      </x:c>
      <x:c r="C18" s="8" t="str">
        <x:v>Andrew</x:v>
      </x:c>
      <x:c r="D18" s="8" t="str">
        <x:v>Payne</x:v>
      </x:c>
      <x:c r="E18" s="8" t="str">
        <x:v>apayne@sju.edu</x:v>
      </x:c>
      <x:c r="F18" s="8" t="str">
        <x:v>sju.edu</x:v>
      </x:c>
      <x:c r="G18" s="8" t="str"/>
      <x:c r="H18" s="8" t="str"/>
      <x:c r="I18" s="8" t="str">
        <x:v>US</x:v>
      </x:c>
      <x:c r="J18" s="8" t="str">
        <x:v>PA</x:v>
      </x:c>
      <x:c r="K18" s="14" t="n">
        <x:v>2025</x:v>
      </x:c>
      <x:c r="L18" s="8" t="str">
        <x:v>Andrew Payne</x:v>
      </x:c>
      <x:c r="M18" s="8" t="str">
        <x:v>Andrew</x:v>
      </x:c>
      <x:c r="N18" s="8" t="str">
        <x:v>Payne</x:v>
      </x:c>
      <x:c r="O18" s="8" t="str"/>
      <x:c r="P18" s="15" t="str"/>
      <x:c r="Q18" s="8" t="str">
        <x:v>Saint Joseph's University</x:v>
      </x:c>
      <x:c r="R18" s="8" t="str">
        <x:v>High</x:v>
      </x:c>
      <x:c r="S18" s="15" t="str">
        <x:v>Official Saint Joseph's University directory lists Andrew Payne in Philosophy.</x:v>
      </x:c>
      <x:c r="T18" s="8" t="str">
        <x:v>USA Eastern</x:v>
      </x:c>
      <x:c r="U18" s="8" t="str">
        <x:v>High</x:v>
      </x:c>
      <x:c r="V18" s="15" t="str">
        <x:v>Existing country and state</x:v>
      </x:c>
      <x:c r="W18" s="8" t="str">
        <x:v>https://directory.sju.edu/andrew-payne</x:v>
      </x:c>
      <x:c r="X18" s="8" t="str">
        <x:v>Institution, Region</x:v>
      </x:c>
      <x:c r="Y18" s="17" t="str">
        <x:v>Proposed change</x:v>
      </x:c>
      <x:c r="Z18" s="20" t="str"/>
      <x:c r="AA18" s="21" t="str"/>
    </x:row>
    <x:row r="19">
      <x:c r="A19" s="8" t="str">
        <x:v>SAGP001232</x:v>
      </x:c>
      <x:c r="B19" s="8" t="str">
        <x:v>Angélica Fierro María</x:v>
      </x:c>
      <x:c r="C19" s="8" t="str">
        <x:v>Angélica</x:v>
      </x:c>
      <x:c r="D19" s="8" t="str">
        <x:v>María</x:v>
      </x:c>
      <x:c r="E19" s="8" t="str">
        <x:v>msmariangelica@gmail.com</x:v>
      </x:c>
      <x:c r="F19" s="8" t="str">
        <x:v>gmail.com</x:v>
      </x:c>
      <x:c r="G19" s="8" t="str"/>
      <x:c r="H19" s="8" t="str"/>
      <x:c r="I19" s="8" t="str">
        <x:v>US</x:v>
      </x:c>
      <x:c r="J19" s="8" t="str"/>
      <x:c r="K19" s="14" t="n">
        <x:v>2027</x:v>
      </x:c>
      <x:c r="L19" s="8" t="str">
        <x:v>Angélica Fierro María</x:v>
      </x:c>
      <x:c r="M19" s="8" t="str">
        <x:v>Angélica</x:v>
      </x:c>
      <x:c r="N19" s="8" t="str">
        <x:v>María</x:v>
      </x:c>
      <x:c r="O19" s="8" t="str"/>
      <x:c r="P19" s="15" t="str"/>
      <x:c r="Q19" s="8" t="str"/>
      <x:c r="R19" s="8" t="str"/>
      <x:c r="S19" s="15" t="str"/>
      <x:c r="T19" s="8" t="str"/>
      <x:c r="U19" s="8" t="str"/>
      <x:c r="V19" s="15" t="str"/>
      <x:c r="W19" s="8" t="str"/>
      <x:c r="X19" s="8" t="str"/>
      <x:c r="Y19" s="19" t="str">
        <x:v>Needs research</x:v>
      </x:c>
      <x:c r="Z19" s="20" t="str"/>
      <x:c r="AA19" s="21" t="str"/>
    </x:row>
    <x:row r="20">
      <x:c r="A20" s="8" t="str">
        <x:v>SAGP001252</x:v>
      </x:c>
      <x:c r="B20" s="8" t="str">
        <x:v>Anna Marmodoro</x:v>
      </x:c>
      <x:c r="C20" s="8" t="str">
        <x:v>Anna</x:v>
      </x:c>
      <x:c r="D20" s="8" t="str">
        <x:v>Marmodoro</x:v>
      </x:c>
      <x:c r="E20" s="8" t="str">
        <x:v>anna.marmodoro@slu.edu</x:v>
      </x:c>
      <x:c r="F20" s="8" t="str">
        <x:v>slu.edu</x:v>
      </x:c>
      <x:c r="G20" s="8" t="str"/>
      <x:c r="H20" s="8" t="str"/>
      <x:c r="I20" s="8" t="str">
        <x:v>GB</x:v>
      </x:c>
      <x:c r="J20" s="8" t="str"/>
      <x:c r="K20" s="14" t="n">
        <x:v>2025</x:v>
      </x:c>
      <x:c r="L20" s="8" t="str">
        <x:v>Anna Marmodoro</x:v>
      </x:c>
      <x:c r="M20" s="8" t="str">
        <x:v>Anna</x:v>
      </x:c>
      <x:c r="N20" s="8" t="str">
        <x:v>Marmodoro</x:v>
      </x:c>
      <x:c r="O20" s="8" t="str"/>
      <x:c r="P20" s="15" t="str"/>
      <x:c r="Q20" s="8" t="str">
        <x:v>Saint Louis University</x:v>
      </x:c>
      <x:c r="R20" s="8" t="str">
        <x:v>High</x:v>
      </x:c>
      <x:c r="S20" s="15" t="str">
        <x:v>Official Saint Louis University faculty profile lists Anna Marmodoro.</x:v>
      </x:c>
      <x:c r="T20" s="8" t="str">
        <x:v>Europe</x:v>
      </x:c>
      <x:c r="U20" s="8" t="str">
        <x:v>High</x:v>
      </x:c>
      <x:c r="V20" s="15" t="str">
        <x:v>Existing country</x:v>
      </x:c>
      <x:c r="W20" s="8" t="str">
        <x:v>https://www.slu.edu/arts-and-sciences/philosophy/faculty/anna-marmodoro.php</x:v>
      </x:c>
      <x:c r="X20" s="8" t="str">
        <x:v>Institution, Region</x:v>
      </x:c>
      <x:c r="Y20" s="17" t="str">
        <x:v>Proposed change</x:v>
      </x:c>
      <x:c r="Z20" s="20" t="str"/>
      <x:c r="AA20" s="21" t="str"/>
    </x:row>
    <x:row r="21">
      <x:c r="A21" s="8" t="str">
        <x:v>SAGP000587</x:v>
      </x:c>
      <x:c r="B21" s="8" t="str">
        <x:v>Arevalo Maria</x:v>
      </x:c>
      <x:c r="C21" s="8" t="str">
        <x:v>Arevalo</x:v>
      </x:c>
      <x:c r="D21" s="8" t="str">
        <x:v>Maria</x:v>
      </x:c>
      <x:c r="E21" s="8" t="str">
        <x:v>mareval2@nd.edu</x:v>
      </x:c>
      <x:c r="F21" s="8" t="str">
        <x:v>nd.edu</x:v>
      </x:c>
      <x:c r="G21" s="8" t="str">
        <x:v>Notre Dame</x:v>
      </x:c>
      <x:c r="H21" s="8" t="str"/>
      <x:c r="I21" s="8" t="str">
        <x:v>US</x:v>
      </x:c>
      <x:c r="J21" s="8" t="str">
        <x:v>IN</x:v>
      </x:c>
      <x:c r="K21" s="14" t="n">
        <x:v>2025</x:v>
      </x:c>
      <x:c r="L21" s="8" t="str">
        <x:v>Arevalo Maria</x:v>
      </x:c>
      <x:c r="M21" s="8" t="str">
        <x:v>Arevalo</x:v>
      </x:c>
      <x:c r="N21" s="8" t="str">
        <x:v>Maria</x:v>
      </x:c>
      <x:c r="O21" s="8" t="str"/>
      <x:c r="P21" s="15" t="str"/>
      <x:c r="Q21" s="8" t="str">
        <x:v>Notre Dame</x:v>
      </x:c>
      <x:c r="R21" s="8" t="str">
        <x:v>Existing</x:v>
      </x:c>
      <x:c r="S21" s="15" t="str">
        <x:v>Existing database value</x:v>
      </x:c>
      <x:c r="T21" s="8" t="str">
        <x:v>USA Central</x:v>
      </x:c>
      <x:c r="U21" s="8" t="str">
        <x:v>High</x:v>
      </x:c>
      <x:c r="V21" s="15" t="str">
        <x:v>Existing country and state</x:v>
      </x:c>
      <x:c r="W21" s="8" t="str"/>
      <x:c r="X21" s="8" t="str">
        <x:v>Region</x:v>
      </x:c>
      <x:c r="Y21" s="17" t="str">
        <x:v>Proposed change</x:v>
      </x:c>
      <x:c r="Z21" s="20" t="str"/>
      <x:c r="AA21" s="21" t="str"/>
    </x:row>
    <x:row r="22">
      <x:c r="A22" s="8" t="str">
        <x:v>SAGP001139</x:v>
      </x:c>
      <x:c r="B22" s="8" t="str">
        <x:v>Arti Dhand</x:v>
      </x:c>
      <x:c r="C22" s="8" t="str">
        <x:v>Arti</x:v>
      </x:c>
      <x:c r="D22" s="8" t="str">
        <x:v>Dhand</x:v>
      </x:c>
      <x:c r="E22" s="8" t="str">
        <x:v>arti.dhand@utoronto.ca</x:v>
      </x:c>
      <x:c r="F22" s="8" t="str">
        <x:v>utoronto.ca</x:v>
      </x:c>
      <x:c r="G22" s="8" t="str"/>
      <x:c r="H22" s="8" t="str"/>
      <x:c r="I22" s="8" t="str"/>
      <x:c r="J22" s="8" t="str"/>
      <x:c r="K22" s="14" t="n">
        <x:v>2031</x:v>
      </x:c>
      <x:c r="L22" s="8" t="str">
        <x:v>Arti Dhand</x:v>
      </x:c>
      <x:c r="M22" s="8" t="str">
        <x:v>Arti</x:v>
      </x:c>
      <x:c r="N22" s="8" t="str">
        <x:v>Dhand</x:v>
      </x:c>
      <x:c r="O22" s="8" t="str"/>
      <x:c r="P22" s="15" t="str"/>
      <x:c r="Q22" s="8" t="str">
        <x:v>University of Toronto</x:v>
      </x:c>
      <x:c r="R22" s="8" t="str">
        <x:v>High</x:v>
      </x:c>
      <x:c r="S22" s="15" t="str">
        <x:v>Official University of Toronto profile lists Arti Dhand and the same email address.</x:v>
      </x:c>
      <x:c r="T22" s="8" t="str"/>
      <x:c r="U22" s="8" t="str"/>
      <x:c r="V22" s="15" t="str"/>
      <x:c r="W22" s="8" t="str">
        <x:v>https://munkschool.utoronto.ca/person/arti-dhand</x:v>
      </x:c>
      <x:c r="X22" s="8" t="str">
        <x:v>Institution</x:v>
      </x:c>
      <x:c r="Y22" s="17" t="str">
        <x:v>Proposed change</x:v>
      </x:c>
      <x:c r="Z22" s="20" t="str"/>
      <x:c r="AA22" s="21" t="str"/>
    </x:row>
    <x:row r="23">
      <x:c r="A23" s="8" t="str">
        <x:v>SAGP000506</x:v>
      </x:c>
      <x:c r="B23" s="8" t="str">
        <x:v>Baker Samuel</x:v>
      </x:c>
      <x:c r="C23" s="8" t="str">
        <x:v>Baker</x:v>
      </x:c>
      <x:c r="D23" s="8" t="str">
        <x:v>Samuel</x:v>
      </x:c>
      <x:c r="E23" s="8" t="str">
        <x:v>samuel.baker@aya.yale.edu</x:v>
      </x:c>
      <x:c r="F23" s="8" t="str">
        <x:v>aya.yale.edu</x:v>
      </x:c>
      <x:c r="G23" s="8" t="str"/>
      <x:c r="H23" s="8" t="str"/>
      <x:c r="I23" s="8" t="str">
        <x:v>US</x:v>
      </x:c>
      <x:c r="J23" s="8" t="str">
        <x:v>AL</x:v>
      </x:c>
      <x:c r="K23" s="14" t="n">
        <x:v>2027</x:v>
      </x:c>
      <x:c r="L23" s="8" t="str">
        <x:v>Samuel Baker</x:v>
      </x:c>
      <x:c r="M23" s="8" t="str">
        <x:v>Samuel</x:v>
      </x:c>
      <x:c r="N23" s="8" t="str">
        <x:v>Baker</x:v>
      </x:c>
      <x:c r="O23" s="8" t="str">
        <x:v>High</x:v>
      </x:c>
      <x:c r="P23" s="15" t="str">
        <x:v>Email address pattern strongly supports given-name/surname reversal</x:v>
      </x:c>
      <x:c r="Q23" s="8" t="str">
        <x:v>University of South Alabama</x:v>
      </x:c>
      <x:c r="R23" s="8" t="str">
        <x:v>High</x:v>
      </x:c>
      <x:c r="S23" s="15" t="str">
        <x:v>Official University of South Alabama faculty profile lists Samuel Baker as Associate Professor of Philosophy and gives a current university email.</x:v>
      </x:c>
      <x:c r="T23" s="8" t="str">
        <x:v>USA Central</x:v>
      </x:c>
      <x:c r="U23" s="8" t="str">
        <x:v>High</x:v>
      </x:c>
      <x:c r="V23" s="15" t="str">
        <x:v>Existing country and state</x:v>
      </x:c>
      <x:c r="W23" s="8" t="str">
        <x:v>https://art.southalabama.edu/colleges/artsandsci/philosophy/baker.html</x:v>
      </x:c>
      <x:c r="X23" s="8" t="str">
        <x:v>Name, Institution, Region</x:v>
      </x:c>
      <x:c r="Y23" s="17" t="str">
        <x:v>Proposed change</x:v>
      </x:c>
      <x:c r="Z23" s="20" t="str"/>
      <x:c r="AA23" s="21" t="str">
        <x:v>Current affiliation replaces the Yale alumni-address inference.</x:v>
      </x:c>
    </x:row>
    <x:row r="24">
      <x:c r="A24" s="8" t="str">
        <x:v>SAGP001375</x:v>
      </x:c>
      <x:c r="B24" s="8" t="str">
        <x:v>Balla Chloe</x:v>
      </x:c>
      <x:c r="C24" s="8" t="str">
        <x:v>Balla</x:v>
      </x:c>
      <x:c r="D24" s="8" t="str">
        <x:v>Chloe</x:v>
      </x:c>
      <x:c r="E24" s="8" t="str">
        <x:v>chloeballa@uoc.gr</x:v>
      </x:c>
      <x:c r="F24" s="8" t="str">
        <x:v>uoc.gr</x:v>
      </x:c>
      <x:c r="G24" s="8" t="str"/>
      <x:c r="H24" s="8" t="str"/>
      <x:c r="I24" s="8" t="str"/>
      <x:c r="J24" s="8" t="str"/>
      <x:c r="K24" s="14" t="n">
        <x:v>2025</x:v>
      </x:c>
      <x:c r="L24" s="8" t="str">
        <x:v>Chloe Balla</x:v>
      </x:c>
      <x:c r="M24" s="8" t="str">
        <x:v>Chloe</x:v>
      </x:c>
      <x:c r="N24" s="8" t="str">
        <x:v>Balla</x:v>
      </x:c>
      <x:c r="O24" s="8" t="str">
        <x:v>High</x:v>
      </x:c>
      <x:c r="P24" s="15" t="str">
        <x:v>Email address pattern strongly supports given-name/surname reversal</x:v>
      </x:c>
      <x:c r="Q24" s="8" t="str">
        <x:v>University of Crete</x:v>
      </x:c>
      <x:c r="R24" s="8" t="str">
        <x:v>High</x:v>
      </x:c>
      <x:c r="S24" s="15" t="str">
        <x:v>Official University of Crete page lists Chloe Balla and the same email address.</x:v>
      </x:c>
      <x:c r="T24" s="8" t="str">
        <x:v>Europe</x:v>
      </x:c>
      <x:c r="U24" s="8" t="str">
        <x:v>Medium</x:v>
      </x:c>
      <x:c r="V24" s="15" t="str">
        <x:v>Institutional email country domain</x:v>
      </x:c>
      <x:c r="W24" s="8" t="str">
        <x:v>https://phl.uoc.gr/publications/</x:v>
      </x:c>
      <x:c r="X24" s="8" t="str">
        <x:v>Name, Institution, Region</x:v>
      </x:c>
      <x:c r="Y24" s="17" t="str">
        <x:v>Proposed change</x:v>
      </x:c>
      <x:c r="Z24" s="20" t="str"/>
      <x:c r="AA24" s="21" t="str"/>
    </x:row>
    <x:row r="25">
      <x:c r="A25" s="8" t="str">
        <x:v>SAGP001233</x:v>
      </x:c>
      <x:c r="B25" s="8" t="str">
        <x:v>Bergamo Max</x:v>
      </x:c>
      <x:c r="C25" s="8" t="str">
        <x:v>Bergamo</x:v>
      </x:c>
      <x:c r="D25" s="8" t="str">
        <x:v>Max</x:v>
      </x:c>
      <x:c r="E25" s="8" t="str">
        <x:v>mx.bergamo@gmail.com</x:v>
      </x:c>
      <x:c r="F25" s="8" t="str">
        <x:v>gmail.com</x:v>
      </x:c>
      <x:c r="G25" s="8" t="str"/>
      <x:c r="H25" s="8" t="str"/>
      <x:c r="I25" s="8" t="str"/>
      <x:c r="J25" s="8" t="str"/>
      <x:c r="K25" s="14" t="n">
        <x:v>2025</x:v>
      </x:c>
      <x:c r="L25" s="8" t="str">
        <x:v>Bergamo Max</x:v>
      </x:c>
      <x:c r="M25" s="8" t="str">
        <x:v>Bergamo</x:v>
      </x:c>
      <x:c r="N25" s="8" t="str">
        <x:v>Max</x:v>
      </x:c>
      <x:c r="O25" s="8" t="str"/>
      <x:c r="P25" s="15" t="str"/>
      <x:c r="Q25" s="8" t="str"/>
      <x:c r="R25" s="8" t="str"/>
      <x:c r="S25" s="15" t="str"/>
      <x:c r="T25" s="8" t="str"/>
      <x:c r="U25" s="8" t="str"/>
      <x:c r="V25" s="15" t="str"/>
      <x:c r="W25" s="8" t="str"/>
      <x:c r="X25" s="8" t="str"/>
      <x:c r="Y25" s="19" t="str">
        <x:v>Needs research</x:v>
      </x:c>
      <x:c r="Z25" s="20" t="str"/>
      <x:c r="AA25" s="21" t="str"/>
    </x:row>
    <x:row r="26">
      <x:c r="A26" s="8" t="str">
        <x:v>SAGP001234</x:v>
      </x:c>
      <x:c r="B26" s="8" t="str">
        <x:v>Betegh Gábor</x:v>
      </x:c>
      <x:c r="C26" s="8" t="str">
        <x:v>Betegh</x:v>
      </x:c>
      <x:c r="D26" s="8" t="str">
        <x:v>Gábor</x:v>
      </x:c>
      <x:c r="E26" s="8" t="str">
        <x:v>gb230@cam.ac.uk</x:v>
      </x:c>
      <x:c r="F26" s="8" t="str">
        <x:v>cam.ac.uk</x:v>
      </x:c>
      <x:c r="G26" s="8" t="str"/>
      <x:c r="H26" s="8" t="str"/>
      <x:c r="I26" s="8" t="str">
        <x:v>GB</x:v>
      </x:c>
      <x:c r="J26" s="8" t="str"/>
      <x:c r="K26" s="14" t="n">
        <x:v>2026</x:v>
      </x:c>
      <x:c r="L26" s="8" t="str">
        <x:v>Betegh Gábor</x:v>
      </x:c>
      <x:c r="M26" s="8" t="str">
        <x:v>Betegh</x:v>
      </x:c>
      <x:c r="N26" s="8" t="str">
        <x:v>Gábor</x:v>
      </x:c>
      <x:c r="O26" s="8" t="str"/>
      <x:c r="P26" s="15" t="str"/>
      <x:c r="Q26" s="8" t="str">
        <x:v>University of Cambridge</x:v>
      </x:c>
      <x:c r="R26" s="8" t="str">
        <x:v>High</x:v>
      </x:c>
      <x:c r="S26" s="15" t="str">
        <x:v>Official University of Cambridge profile lists Gábor Betegh and the same email address.</x:v>
      </x:c>
      <x:c r="T26" s="8" t="str">
        <x:v>Europe</x:v>
      </x:c>
      <x:c r="U26" s="8" t="str">
        <x:v>High</x:v>
      </x:c>
      <x:c r="V26" s="15" t="str">
        <x:v>Existing country</x:v>
      </x:c>
      <x:c r="W26" s="8" t="str">
        <x:v>https://www.classics.cam.ac.uk/people/professor-gabor-betegh</x:v>
      </x:c>
      <x:c r="X26" s="8" t="str">
        <x:v>Institution, Region</x:v>
      </x:c>
      <x:c r="Y26" s="17" t="str">
        <x:v>Proposed change</x:v>
      </x:c>
      <x:c r="Z26" s="20" t="str"/>
      <x:c r="AA26" s="21" t="str"/>
    </x:row>
    <x:row r="27">
      <x:c r="A27" s="8" t="str">
        <x:v>SAGP001236</x:v>
      </x:c>
      <x:c r="B27" s="8" t="str">
        <x:v>Borthwick Catherine</x:v>
      </x:c>
      <x:c r="C27" s="8" t="str">
        <x:v>Borthwick</x:v>
      </x:c>
      <x:c r="D27" s="8" t="str">
        <x:v>Catherine</x:v>
      </x:c>
      <x:c r="E27" s="8" t="str">
        <x:v>catherine@borthwick.us</x:v>
      </x:c>
      <x:c r="F27" s="8" t="str">
        <x:v>borthwick.us</x:v>
      </x:c>
      <x:c r="G27" s="8" t="str"/>
      <x:c r="H27" s="8" t="str"/>
      <x:c r="I27" s="8" t="str">
        <x:v>GB</x:v>
      </x:c>
      <x:c r="J27" s="8" t="str"/>
      <x:c r="K27" s="14" t="n">
        <x:v>2025</x:v>
      </x:c>
      <x:c r="L27" s="8" t="str">
        <x:v>Borthwick Catherine</x:v>
      </x:c>
      <x:c r="M27" s="8" t="str">
        <x:v>Borthwick</x:v>
      </x:c>
      <x:c r="N27" s="8" t="str">
        <x:v>Catherine</x:v>
      </x:c>
      <x:c r="O27" s="8" t="str"/>
      <x:c r="P27" s="15" t="str"/>
      <x:c r="Q27" s="8" t="str"/>
      <x:c r="R27" s="8" t="str"/>
      <x:c r="S27" s="15" t="str"/>
      <x:c r="T27" s="8" t="str">
        <x:v>Europe</x:v>
      </x:c>
      <x:c r="U27" s="8" t="str">
        <x:v>High</x:v>
      </x:c>
      <x:c r="V27" s="15" t="str">
        <x:v>Existing country</x:v>
      </x:c>
      <x:c r="W27" s="8" t="str"/>
      <x:c r="X27" s="8" t="str">
        <x:v>Region</x:v>
      </x:c>
      <x:c r="Y27" s="17" t="str">
        <x:v>Proposed change</x:v>
      </x:c>
      <x:c r="Z27" s="20" t="str"/>
      <x:c r="AA27" s="21" t="str"/>
    </x:row>
    <x:row r="28">
      <x:c r="A28" s="8" t="str">
        <x:v>SAGP000510</x:v>
      </x:c>
      <x:c r="B28" s="8" t="str">
        <x:v>Brandon Murray</x:v>
      </x:c>
      <x:c r="C28" s="8" t="str">
        <x:v>Brandon</x:v>
      </x:c>
      <x:c r="D28" s="8" t="str">
        <x:v>Murray</x:v>
      </x:c>
      <x:c r="E28" s="8" t="str">
        <x:v>murry.brandon@fcboe.org</x:v>
      </x:c>
      <x:c r="F28" s="8" t="str">
        <x:v>fcboe.org</x:v>
      </x:c>
      <x:c r="G28" s="8" t="str"/>
      <x:c r="H28" s="8" t="str"/>
      <x:c r="I28" s="8" t="str">
        <x:v>US</x:v>
      </x:c>
      <x:c r="J28" s="8" t="str">
        <x:v>GA</x:v>
      </x:c>
      <x:c r="K28" s="14" t="n">
        <x:v>2027</x:v>
      </x:c>
      <x:c r="L28" s="8" t="str">
        <x:v>Brandon Murray</x:v>
      </x:c>
      <x:c r="M28" s="8" t="str">
        <x:v>Brandon</x:v>
      </x:c>
      <x:c r="N28" s="8" t="str">
        <x:v>Murray</x:v>
      </x:c>
      <x:c r="O28" s="8" t="str"/>
      <x:c r="P28" s="15" t="str"/>
      <x:c r="Q28" s="8" t="str"/>
      <x:c r="R28" s="8" t="str"/>
      <x:c r="S28" s="15" t="str"/>
      <x:c r="T28" s="8" t="str">
        <x:v>USA Eastern</x:v>
      </x:c>
      <x:c r="U28" s="8" t="str">
        <x:v>High</x:v>
      </x:c>
      <x:c r="V28" s="15" t="str">
        <x:v>Existing country and state</x:v>
      </x:c>
      <x:c r="W28" s="8" t="str"/>
      <x:c r="X28" s="8" t="str">
        <x:v>Region</x:v>
      </x:c>
      <x:c r="Y28" s="17" t="str">
        <x:v>Proposed change</x:v>
      </x:c>
      <x:c r="Z28" s="20" t="str"/>
      <x:c r="AA28" s="21" t="str"/>
    </x:row>
    <x:row r="29">
      <x:c r="A29" s="8" t="str">
        <x:v>SAGP000500</x:v>
      </x:c>
      <x:c r="B29" s="8" t="str">
        <x:v>Brandon Zimmerman</x:v>
      </x:c>
      <x:c r="C29" s="8" t="str">
        <x:v>Brandon</x:v>
      </x:c>
      <x:c r="D29" s="8" t="str">
        <x:v>Zimmerman</x:v>
      </x:c>
      <x:c r="E29" s="8" t="str">
        <x:v>66zimmerman@cua.edu</x:v>
      </x:c>
      <x:c r="F29" s="8" t="str">
        <x:v>cua.edu</x:v>
      </x:c>
      <x:c r="G29" s="8" t="str">
        <x:v>University of St. Thomas</x:v>
      </x:c>
      <x:c r="H29" s="8" t="str"/>
      <x:c r="I29" s="8" t="str">
        <x:v>US ::: US</x:v>
      </x:c>
      <x:c r="J29" s="8" t="str">
        <x:v>TX ::: TX</x:v>
      </x:c>
      <x:c r="K29" s="14" t="n">
        <x:v>2025</x:v>
      </x:c>
      <x:c r="L29" s="8" t="str">
        <x:v>Brandon Zimmerman</x:v>
      </x:c>
      <x:c r="M29" s="8" t="str">
        <x:v>Brandon</x:v>
      </x:c>
      <x:c r="N29" s="8" t="str">
        <x:v>Zimmerman</x:v>
      </x:c>
      <x:c r="O29" s="8" t="str"/>
      <x:c r="P29" s="15" t="str"/>
      <x:c r="Q29" s="8" t="str">
        <x:v>University of St. Thomas</x:v>
      </x:c>
      <x:c r="R29" s="8" t="str">
        <x:v>Existing</x:v>
      </x:c>
      <x:c r="S29" s="15" t="str">
        <x:v>Existing database value</x:v>
      </x:c>
      <x:c r="T29" s="8" t="str"/>
      <x:c r="U29" s="8" t="str"/>
      <x:c r="V29" s="15" t="str"/>
      <x:c r="W29" s="8" t="str"/>
      <x:c r="X29" s="8" t="str"/>
      <x:c r="Y29" s="19" t="str">
        <x:v>Needs research</x:v>
      </x:c>
      <x:c r="Z29" s="20" t="str"/>
      <x:c r="AA29" s="21" t="str"/>
    </x:row>
    <x:row r="30">
      <x:c r="A30" s="8" t="str">
        <x:v>SAGP001012</x:v>
      </x:c>
      <x:c r="B30" s="8" t="str">
        <x:v>Brants Zachary</x:v>
      </x:c>
      <x:c r="C30" s="8" t="str">
        <x:v>Brants</x:v>
      </x:c>
      <x:c r="D30" s="8" t="str">
        <x:v>Zachary</x:v>
      </x:c>
      <x:c r="E30" s="8" t="str">
        <x:v>zbrants@ucsd.edu</x:v>
      </x:c>
      <x:c r="F30" s="8" t="str">
        <x:v>ucsd.edu</x:v>
      </x:c>
      <x:c r="G30" s="8" t="str"/>
      <x:c r="H30" s="8" t="str"/>
      <x:c r="I30" s="8" t="str">
        <x:v>US</x:v>
      </x:c>
      <x:c r="J30" s="8" t="str">
        <x:v>CA</x:v>
      </x:c>
      <x:c r="K30" s="14" t="n">
        <x:v>2029</x:v>
      </x:c>
      <x:c r="L30" s="8" t="str">
        <x:v>Zachary Brants</x:v>
      </x:c>
      <x:c r="M30" s="8" t="str">
        <x:v>Zachary</x:v>
      </x:c>
      <x:c r="N30" s="8" t="str">
        <x:v>Brants</x:v>
      </x:c>
      <x:c r="O30" s="8" t="str">
        <x:v>High</x:v>
      </x:c>
      <x:c r="P30" s="15" t="str">
        <x:v>Email address pattern strongly supports given-name/surname reversal</x:v>
      </x:c>
      <x:c r="Q30" s="8" t="str">
        <x:v>University of California, San Diego</x:v>
      </x:c>
      <x:c r="R30" s="8" t="str">
        <x:v>High</x:v>
      </x:c>
      <x:c r="S30" s="15" t="str">
        <x:v>Official UC San Diego Winter 2026 schedule lists Zachary Keith Brants as instructor.</x:v>
      </x:c>
      <x:c r="T30" s="8" t="str">
        <x:v>USA Western</x:v>
      </x:c>
      <x:c r="U30" s="8" t="str">
        <x:v>High</x:v>
      </x:c>
      <x:c r="V30" s="15" t="str">
        <x:v>Existing country and state</x:v>
      </x:c>
      <x:c r="W30" s="8" t="str">
        <x:v>https://act.ucsd.edu/scheduleOfClasses/scheduleOfClassesStudentResult.htm?sections=62097&amp;selectedTerm=WI26&amp;tabNum=tabs-sec</x:v>
      </x:c>
      <x:c r="X30" s="8" t="str">
        <x:v>Name, Institution, Region</x:v>
      </x:c>
      <x:c r="Y30" s="17" t="str">
        <x:v>Proposed change</x:v>
      </x:c>
      <x:c r="Z30" s="20" t="str"/>
      <x:c r="AA30" s="21" t="str"/>
    </x:row>
    <x:row r="31">
      <x:c r="A31" s="8" t="str">
        <x:v>SAGP000556</x:v>
      </x:c>
      <x:c r="B31" s="8" t="str">
        <x:v>Brian Reese</x:v>
      </x:c>
      <x:c r="C31" s="8" t="str">
        <x:v>Brian</x:v>
      </x:c>
      <x:c r="D31" s="8" t="str">
        <x:v>Reese</x:v>
      </x:c>
      <x:c r="E31" s="8" t="str">
        <x:v>brian.reese@me.com</x:v>
      </x:c>
      <x:c r="F31" s="8" t="str">
        <x:v>me.com</x:v>
      </x:c>
      <x:c r="G31" s="8" t="str"/>
      <x:c r="H31" s="8" t="str"/>
      <x:c r="I31" s="8" t="str">
        <x:v>US</x:v>
      </x:c>
      <x:c r="J31" s="8" t="str">
        <x:v>FL</x:v>
      </x:c>
      <x:c r="K31" s="14" t="n">
        <x:v>2026</x:v>
      </x:c>
      <x:c r="L31" s="8" t="str">
        <x:v>Brian Reese</x:v>
      </x:c>
      <x:c r="M31" s="8" t="str">
        <x:v>Brian</x:v>
      </x:c>
      <x:c r="N31" s="8" t="str">
        <x:v>Reese</x:v>
      </x:c>
      <x:c r="O31" s="8" t="str"/>
      <x:c r="P31" s="15" t="str"/>
      <x:c r="Q31" s="8" t="str"/>
      <x:c r="R31" s="8" t="str"/>
      <x:c r="S31" s="15" t="str"/>
      <x:c r="T31" s="8" t="str">
        <x:v>USA Eastern</x:v>
      </x:c>
      <x:c r="U31" s="8" t="str">
        <x:v>High</x:v>
      </x:c>
      <x:c r="V31" s="15" t="str">
        <x:v>Existing country and state</x:v>
      </x:c>
      <x:c r="W31" s="8" t="str"/>
      <x:c r="X31" s="8" t="str">
        <x:v>Region</x:v>
      </x:c>
      <x:c r="Y31" s="17" t="str">
        <x:v>Proposed change</x:v>
      </x:c>
      <x:c r="Z31" s="20" t="str"/>
      <x:c r="AA31" s="21" t="str"/>
    </x:row>
    <x:row r="32">
      <x:c r="A32" s="8" t="str">
        <x:v>SAGP001013</x:v>
      </x:c>
      <x:c r="B32" s="8" t="str">
        <x:v>Brook Eric C.</x:v>
      </x:c>
      <x:c r="C32" s="8" t="str">
        <x:v>Brook</x:v>
      </x:c>
      <x:c r="D32" s="8" t="str">
        <x:v>C.</x:v>
      </x:c>
      <x:c r="E32" s="8" t="str">
        <x:v>tecbrook@gmail.com</x:v>
      </x:c>
      <x:c r="F32" s="8" t="str">
        <x:v>gmail.com</x:v>
      </x:c>
      <x:c r="G32" s="8" t="str">
        <x:v>California Baptist University</x:v>
      </x:c>
      <x:c r="H32" s="8" t="str"/>
      <x:c r="I32" s="8" t="str">
        <x:v>US</x:v>
      </x:c>
      <x:c r="J32" s="8" t="str">
        <x:v>CA</x:v>
      </x:c>
      <x:c r="K32" s="14" t="n">
        <x:v>2025</x:v>
      </x:c>
      <x:c r="L32" s="8" t="str">
        <x:v>Brook Eric C.</x:v>
      </x:c>
      <x:c r="M32" s="8" t="str">
        <x:v>Brook</x:v>
      </x:c>
      <x:c r="N32" s="8" t="str">
        <x:v>C.</x:v>
      </x:c>
      <x:c r="O32" s="8" t="str"/>
      <x:c r="P32" s="15" t="str"/>
      <x:c r="Q32" s="8" t="str">
        <x:v>California Baptist University</x:v>
      </x:c>
      <x:c r="R32" s="8" t="str">
        <x:v>Existing</x:v>
      </x:c>
      <x:c r="S32" s="15" t="str">
        <x:v>Existing database value</x:v>
      </x:c>
      <x:c r="T32" s="8" t="str">
        <x:v>USA Western</x:v>
      </x:c>
      <x:c r="U32" s="8" t="str">
        <x:v>High</x:v>
      </x:c>
      <x:c r="V32" s="15" t="str">
        <x:v>Existing country and state</x:v>
      </x:c>
      <x:c r="W32" s="8" t="str"/>
      <x:c r="X32" s="8" t="str">
        <x:v>Region</x:v>
      </x:c>
      <x:c r="Y32" s="17" t="str">
        <x:v>Proposed change</x:v>
      </x:c>
      <x:c r="Z32" s="20" t="str"/>
      <x:c r="AA32" s="21" t="str"/>
    </x:row>
    <x:row r="33">
      <x:c r="A33" s="8" t="str">
        <x:v>SAGP000144</x:v>
      </x:c>
      <x:c r="B33" s="8" t="str">
        <x:v>Bruce Payne</x:v>
      </x:c>
      <x:c r="C33" s="8" t="str">
        <x:v>Bruce</x:v>
      </x:c>
      <x:c r="D33" s="8" t="str">
        <x:v>Payne</x:v>
      </x:c>
      <x:c r="E33" s="8" t="str">
        <x:v>brucelloydpayne@gmail.com</x:v>
      </x:c>
      <x:c r="F33" s="8" t="str">
        <x:v>gmail.com</x:v>
      </x:c>
      <x:c r="G33" s="8" t="str">
        <x:v>Baruch College, CUNY</x:v>
      </x:c>
      <x:c r="H33" s="8" t="str"/>
      <x:c r="I33" s="8" t="str">
        <x:v>US</x:v>
      </x:c>
      <x:c r="J33" s="8" t="str">
        <x:v>NY</x:v>
      </x:c>
      <x:c r="K33" s="14" t="n">
        <x:v>2025</x:v>
      </x:c>
      <x:c r="L33" s="8" t="str">
        <x:v>Bruce Payne</x:v>
      </x:c>
      <x:c r="M33" s="8" t="str">
        <x:v>Bruce</x:v>
      </x:c>
      <x:c r="N33" s="8" t="str">
        <x:v>Payne</x:v>
      </x:c>
      <x:c r="O33" s="8" t="str"/>
      <x:c r="P33" s="15" t="str"/>
      <x:c r="Q33" s="8" t="str">
        <x:v>Baruch College, CUNY</x:v>
      </x:c>
      <x:c r="R33" s="8" t="str">
        <x:v>Existing</x:v>
      </x:c>
      <x:c r="S33" s="15" t="str">
        <x:v>Existing database value</x:v>
      </x:c>
      <x:c r="T33" s="8" t="str">
        <x:v>USA Eastern</x:v>
      </x:c>
      <x:c r="U33" s="8" t="str">
        <x:v>High</x:v>
      </x:c>
      <x:c r="V33" s="15" t="str">
        <x:v>Existing country and state</x:v>
      </x:c>
      <x:c r="W33" s="8" t="str"/>
      <x:c r="X33" s="8" t="str">
        <x:v>Region</x:v>
      </x:c>
      <x:c r="Y33" s="17" t="str">
        <x:v>Proposed change</x:v>
      </x:c>
      <x:c r="Z33" s="20" t="str"/>
      <x:c r="AA33" s="21" t="str"/>
    </x:row>
    <x:row r="34">
      <x:c r="A34" s="8" t="str">
        <x:v>SAGP000592</x:v>
      </x:c>
      <x:c r="B34" s="8" t="str">
        <x:v>Byard Bennett</x:v>
      </x:c>
      <x:c r="C34" s="8" t="str">
        <x:v>Byard</x:v>
      </x:c>
      <x:c r="D34" s="8" t="str">
        <x:v>Bennett</x:v>
      </x:c>
      <x:c r="E34" s="8" t="str">
        <x:v>byard.bennett@cornerstone.edu</x:v>
      </x:c>
      <x:c r="F34" s="8" t="str">
        <x:v>cornerstone.edu</x:v>
      </x:c>
      <x:c r="G34" s="8" t="str"/>
      <x:c r="H34" s="8" t="str"/>
      <x:c r="I34" s="8" t="str">
        <x:v>US</x:v>
      </x:c>
      <x:c r="J34" s="8" t="str">
        <x:v>MI</x:v>
      </x:c>
      <x:c r="K34" s="14" t="n">
        <x:v>2033</x:v>
      </x:c>
      <x:c r="L34" s="8" t="str">
        <x:v>Byard Bennett</x:v>
      </x:c>
      <x:c r="M34" s="8" t="str">
        <x:v>Byard</x:v>
      </x:c>
      <x:c r="N34" s="8" t="str">
        <x:v>Bennett</x:v>
      </x:c>
      <x:c r="O34" s="8" t="str"/>
      <x:c r="P34" s="15" t="str"/>
      <x:c r="Q34" s="8" t="str">
        <x:v>Cornerstone University</x:v>
      </x:c>
      <x:c r="R34" s="8" t="str">
        <x:v>High</x:v>
      </x:c>
      <x:c r="S34" s="15" t="str">
        <x:v>Official Cornerstone University profile lists Byard Bennett as professor emeritus.</x:v>
      </x:c>
      <x:c r="T34" s="8" t="str">
        <x:v>USA Central</x:v>
      </x:c>
      <x:c r="U34" s="8" t="str">
        <x:v>High</x:v>
      </x:c>
      <x:c r="V34" s="15" t="str">
        <x:v>Existing country and state</x:v>
      </x:c>
      <x:c r="W34" s="8" t="str">
        <x:v>https://www.cornerstone.edu/faculty/byard-bennett/</x:v>
      </x:c>
      <x:c r="X34" s="8" t="str">
        <x:v>Institution, Region</x:v>
      </x:c>
      <x:c r="Y34" s="17" t="str">
        <x:v>Proposed change</x:v>
      </x:c>
      <x:c r="Z34" s="20" t="str"/>
      <x:c r="AA34" s="21" t="str"/>
    </x:row>
    <x:row r="35">
      <x:c r="A35" s="8" t="str">
        <x:v>SAGP001411</x:v>
      </x:c>
      <x:c r="B35" s="8" t="str">
        <x:v>Cantor Lea</x:v>
      </x:c>
      <x:c r="C35" s="8" t="str">
        <x:v>Cantor</x:v>
      </x:c>
      <x:c r="D35" s="8" t="str">
        <x:v>Lea</x:v>
      </x:c>
      <x:c r="E35" s="8" t="str">
        <x:v>lyc24@cam.ac.uk</x:v>
      </x:c>
      <x:c r="F35" s="8" t="str">
        <x:v>cam.ac.uk</x:v>
      </x:c>
      <x:c r="G35" s="8" t="str"/>
      <x:c r="H35" s="8" t="str"/>
      <x:c r="I35" s="8" t="str"/>
      <x:c r="J35" s="8" t="str"/>
      <x:c r="K35" s="14" t="n">
        <x:v>2025</x:v>
      </x:c>
      <x:c r="L35" s="8" t="str">
        <x:v>Cantor Lea</x:v>
      </x:c>
      <x:c r="M35" s="8" t="str">
        <x:v>Cantor</x:v>
      </x:c>
      <x:c r="N35" s="8" t="str">
        <x:v>Lea</x:v>
      </x:c>
      <x:c r="O35" s="8" t="str"/>
      <x:c r="P35" s="15" t="str"/>
      <x:c r="Q35" s="8" t="str">
        <x:v>University of Cambridge</x:v>
      </x:c>
      <x:c r="R35" s="8" t="str">
        <x:v>High</x:v>
      </x:c>
      <x:c r="S35" s="15" t="str">
        <x:v>Official University of Cambridge profile lists Lea Cantor and the same email address.</x:v>
      </x:c>
      <x:c r="T35" s="8" t="str">
        <x:v>Europe</x:v>
      </x:c>
      <x:c r="U35" s="8" t="str">
        <x:v>Medium</x:v>
      </x:c>
      <x:c r="V35" s="15" t="str">
        <x:v>Institutional email country domain</x:v>
      </x:c>
      <x:c r="W35" s="8" t="str">
        <x:v>https://www.classics.cam.ac.uk/people/dr-lea-cantor</x:v>
      </x:c>
      <x:c r="X35" s="8" t="str">
        <x:v>Institution, Region</x:v>
      </x:c>
      <x:c r="Y35" s="17" t="str">
        <x:v>Proposed change</x:v>
      </x:c>
      <x:c r="Z35" s="20" t="str"/>
      <x:c r="AA35" s="21" t="str"/>
    </x:row>
    <x:row r="36">
      <x:c r="A36" s="8" t="str">
        <x:v>SAGP001237</x:v>
      </x:c>
      <x:c r="B36" s="8" t="str">
        <x:v>Carlos Cortissoz</x:v>
      </x:c>
      <x:c r="C36" s="8" t="str">
        <x:v>Carlos</x:v>
      </x:c>
      <x:c r="D36" s="8" t="str">
        <x:v>Cortissoz</x:v>
      </x:c>
      <x:c r="E36" s="8" t="str">
        <x:v>carlos.cortissoz@gmail.com</x:v>
      </x:c>
      <x:c r="F36" s="8" t="str">
        <x:v>gmail.com</x:v>
      </x:c>
      <x:c r="G36" s="8" t="str"/>
      <x:c r="H36" s="8" t="str"/>
      <x:c r="I36" s="8" t="str"/>
      <x:c r="J36" s="8" t="str"/>
      <x:c r="K36" s="14" t="n">
        <x:v>2025</x:v>
      </x:c>
      <x:c r="L36" s="8" t="str">
        <x:v>Carlos Cortissoz</x:v>
      </x:c>
      <x:c r="M36" s="8" t="str">
        <x:v>Carlos</x:v>
      </x:c>
      <x:c r="N36" s="8" t="str">
        <x:v>Cortissoz</x:v>
      </x:c>
      <x:c r="O36" s="8" t="str"/>
      <x:c r="P36" s="15" t="str"/>
      <x:c r="Q36" s="8" t="str"/>
      <x:c r="R36" s="8" t="str"/>
      <x:c r="S36" s="15" t="str"/>
      <x:c r="T36" s="8" t="str"/>
      <x:c r="U36" s="8" t="str"/>
      <x:c r="V36" s="15" t="str"/>
      <x:c r="W36" s="8" t="str"/>
      <x:c r="X36" s="8" t="str"/>
      <x:c r="Y36" s="19" t="str">
        <x:v>Needs research</x:v>
      </x:c>
      <x:c r="Z36" s="20" t="str"/>
      <x:c r="AA36" s="21" t="str"/>
    </x:row>
    <x:row r="37">
      <x:c r="A37" s="8" t="str">
        <x:v>SAGP000769</x:v>
      </x:c>
      <x:c r="B37" s="8" t="str">
        <x:v>Carrie Swanson</x:v>
      </x:c>
      <x:c r="C37" s="8" t="str">
        <x:v>Carrie</x:v>
      </x:c>
      <x:c r="D37" s="8" t="str">
        <x:v>Swanson</x:v>
      </x:c>
      <x:c r="E37" s="8" t="str">
        <x:v>carrie-e-swanson@uiowa.edu</x:v>
      </x:c>
      <x:c r="F37" s="8" t="str">
        <x:v>uiowa.edu</x:v>
      </x:c>
      <x:c r="G37" s="8" t="str"/>
      <x:c r="H37" s="8" t="str"/>
      <x:c r="I37" s="8" t="str">
        <x:v>US</x:v>
      </x:c>
      <x:c r="J37" s="8" t="str">
        <x:v>IA</x:v>
      </x:c>
      <x:c r="K37" s="14" t="n">
        <x:v>2028</x:v>
      </x:c>
      <x:c r="L37" s="8" t="str">
        <x:v>Carrie Swanson</x:v>
      </x:c>
      <x:c r="M37" s="8" t="str">
        <x:v>Carrie</x:v>
      </x:c>
      <x:c r="N37" s="8" t="str">
        <x:v>Swanson</x:v>
      </x:c>
      <x:c r="O37" s="8" t="str"/>
      <x:c r="P37" s="15" t="str"/>
      <x:c r="Q37" s="8" t="str">
        <x:v>University of Iowa</x:v>
      </x:c>
      <x:c r="R37" s="8" t="str">
        <x:v>High</x:v>
      </x:c>
      <x:c r="S37" s="15" t="str">
        <x:v>Official University of Iowa profile lists Carrie E. Swanson and the same email address.</x:v>
      </x:c>
      <x:c r="T37" s="8" t="str">
        <x:v>USA Central</x:v>
      </x:c>
      <x:c r="U37" s="8" t="str">
        <x:v>High</x:v>
      </x:c>
      <x:c r="V37" s="15" t="str">
        <x:v>Existing country and state</x:v>
      </x:c>
      <x:c r="W37" s="8" t="str">
        <x:v>https://philosophy.uiowa.edu/people/carrie-e-swanson</x:v>
      </x:c>
      <x:c r="X37" s="8" t="str">
        <x:v>Institution, Region</x:v>
      </x:c>
      <x:c r="Y37" s="17" t="str">
        <x:v>Proposed change</x:v>
      </x:c>
      <x:c r="Z37" s="20" t="str"/>
      <x:c r="AA37" s="21" t="str"/>
    </x:row>
    <x:row r="38">
      <x:c r="A38" s="8" t="str">
        <x:v>SAGP001238</x:v>
      </x:c>
      <x:c r="B38" s="8" t="str">
        <x:v>Carter Jason</x:v>
      </x:c>
      <x:c r="C38" s="8" t="str">
        <x:v>Carter</x:v>
      </x:c>
      <x:c r="D38" s="8" t="str">
        <x:v>Jason</x:v>
      </x:c>
      <x:c r="E38" s="8" t="str">
        <x:v>jwc29@st-andrews.ac.uk</x:v>
      </x:c>
      <x:c r="F38" s="8" t="str">
        <x:v>st-andrews.ac.uk</x:v>
      </x:c>
      <x:c r="G38" s="8" t="str"/>
      <x:c r="H38" s="8" t="str"/>
      <x:c r="I38" s="8" t="str">
        <x:v>GB</x:v>
      </x:c>
      <x:c r="J38" s="8" t="str"/>
      <x:c r="K38" s="14" t="n">
        <x:v>2025</x:v>
      </x:c>
      <x:c r="L38" s="8" t="str">
        <x:v>Carter Jason</x:v>
      </x:c>
      <x:c r="M38" s="8" t="str">
        <x:v>Carter</x:v>
      </x:c>
      <x:c r="N38" s="8" t="str">
        <x:v>Jason</x:v>
      </x:c>
      <x:c r="O38" s="8" t="str"/>
      <x:c r="P38" s="15" t="str"/>
      <x:c r="Q38" s="8" t="str">
        <x:v>University of St Andrews</x:v>
      </x:c>
      <x:c r="R38" s="8" t="str">
        <x:v>High</x:v>
      </x:c>
      <x:c r="S38" s="15" t="str">
        <x:v>Official University of St Andrews people page lists Jason Carter and the same email address.</x:v>
      </x:c>
      <x:c r="T38" s="8" t="str">
        <x:v>Europe</x:v>
      </x:c>
      <x:c r="U38" s="8" t="str">
        <x:v>High</x:v>
      </x:c>
      <x:c r="V38" s="15" t="str">
        <x:v>Existing country</x:v>
      </x:c>
      <x:c r="W38" s="8" t="str">
        <x:v>https://www.st-andrews.ac.uk/philosophy/people/</x:v>
      </x:c>
      <x:c r="X38" s="8" t="str">
        <x:v>Institution, Region</x:v>
      </x:c>
      <x:c r="Y38" s="17" t="str">
        <x:v>Proposed change</x:v>
      </x:c>
      <x:c r="Z38" s="20" t="str"/>
      <x:c r="AA38" s="21" t="str"/>
    </x:row>
    <x:row r="39">
      <x:c r="A39" s="8" t="str">
        <x:v>SAGP001257</x:v>
      </x:c>
      <x:c r="B39" s="8" t="str">
        <x:v>Caterina Pello'</x:v>
      </x:c>
      <x:c r="C39" s="8" t="str">
        <x:v>Caterina</x:v>
      </x:c>
      <x:c r="D39" s="8" t="str">
        <x:v>Pello'</x:v>
      </x:c>
      <x:c r="E39" s="8" t="str">
        <x:v>caterinapello@gmail.com</x:v>
      </x:c>
      <x:c r="F39" s="8" t="str">
        <x:v>gmail.com</x:v>
      </x:c>
      <x:c r="G39" s="8" t="str"/>
      <x:c r="H39" s="8" t="str"/>
      <x:c r="I39" s="8" t="str">
        <x:v>GB</x:v>
      </x:c>
      <x:c r="J39" s="8" t="str"/>
      <x:c r="K39" s="14" t="n">
        <x:v>2025</x:v>
      </x:c>
      <x:c r="L39" s="8" t="str">
        <x:v>Caterina Pello'</x:v>
      </x:c>
      <x:c r="M39" s="8" t="str">
        <x:v>Caterina</x:v>
      </x:c>
      <x:c r="N39" s="8" t="str">
        <x:v>Pello'</x:v>
      </x:c>
      <x:c r="O39" s="8" t="str"/>
      <x:c r="P39" s="15" t="str"/>
      <x:c r="Q39" s="8" t="str"/>
      <x:c r="R39" s="8" t="str"/>
      <x:c r="S39" s="15" t="str"/>
      <x:c r="T39" s="8" t="str">
        <x:v>Europe</x:v>
      </x:c>
      <x:c r="U39" s="8" t="str">
        <x:v>High</x:v>
      </x:c>
      <x:c r="V39" s="15" t="str">
        <x:v>Existing country</x:v>
      </x:c>
      <x:c r="W39" s="8" t="str"/>
      <x:c r="X39" s="8" t="str">
        <x:v>Region</x:v>
      </x:c>
      <x:c r="Y39" s="17" t="str">
        <x:v>Proposed change</x:v>
      </x:c>
      <x:c r="Z39" s="20" t="str"/>
      <x:c r="AA39" s="21" t="str"/>
    </x:row>
    <x:row r="40">
      <x:c r="A40" s="8" t="str">
        <x:v>SAGP001620</x:v>
      </x:c>
      <x:c r="B40" s="8" t="str">
        <x:v>Catherine McKeen</x:v>
      </x:c>
      <x:c r="C40" s="8" t="str">
        <x:v>Catherine</x:v>
      </x:c>
      <x:c r="D40" s="8" t="str">
        <x:v>McKeen</x:v>
      </x:c>
      <x:c r="E40" s="8" t="str">
        <x:v>cmckeen@bennington.edu</x:v>
      </x:c>
      <x:c r="F40" s="8" t="str">
        <x:v>bennington.edu</x:v>
      </x:c>
      <x:c r="G40" s="8" t="str">
        <x:v>Bennington College</x:v>
      </x:c>
      <x:c r="H40" s="8" t="str">
        <x:v>USA Eastern</x:v>
      </x:c>
      <x:c r="I40" s="8" t="str"/>
      <x:c r="J40" s="8" t="str"/>
      <x:c r="K40" s="14" t="n">
        <x:v>2031</x:v>
      </x:c>
      <x:c r="L40" s="8" t="str">
        <x:v>Catherine McKeen</x:v>
      </x:c>
      <x:c r="M40" s="8" t="str">
        <x:v>Catherine</x:v>
      </x:c>
      <x:c r="N40" s="8" t="str">
        <x:v>McKeen</x:v>
      </x:c>
      <x:c r="O40" s="8" t="str"/>
      <x:c r="P40" s="15" t="str"/>
      <x:c r="Q40" s="8" t="str">
        <x:v>Bennington College</x:v>
      </x:c>
      <x:c r="R40" s="8" t="str">
        <x:v>Existing</x:v>
      </x:c>
      <x:c r="S40" s="15" t="str">
        <x:v>Existing database value</x:v>
      </x:c>
      <x:c r="T40" s="8" t="str">
        <x:v>USA Eastern</x:v>
      </x:c>
      <x:c r="U40" s="8" t="str">
        <x:v>Existing</x:v>
      </x:c>
      <x:c r="V40" s="15" t="str">
        <x:v>Existing database value</x:v>
      </x:c>
      <x:c r="W40" s="8" t="str"/>
      <x:c r="X40" s="8" t="str"/>
      <x:c r="Y40" s="8" t="str">
        <x:v>No change proposed</x:v>
      </x:c>
      <x:c r="Z40" s="20" t="str"/>
      <x:c r="AA40" s="21" t="str"/>
    </x:row>
    <x:row r="41">
      <x:c r="A41" s="8" t="str">
        <x:v>SAGP001178</x:v>
      </x:c>
      <x:c r="B41" s="8" t="str">
        <x:v>Cecilia Li</x:v>
      </x:c>
      <x:c r="C41" s="8" t="str">
        <x:v>Cecilia</x:v>
      </x:c>
      <x:c r="D41" s="8" t="str">
        <x:v>Li</x:v>
      </x:c>
      <x:c r="E41" s="8" t="str">
        <x:v>zli289@uwo.ca</x:v>
      </x:c>
      <x:c r="F41" s="8" t="str">
        <x:v>uwo.ca</x:v>
      </x:c>
      <x:c r="G41" s="8" t="str">
        <x:v>Huron University at Western University in Ontario</x:v>
      </x:c>
      <x:c r="H41" s="8" t="str">
        <x:v>Canada Ontario</x:v>
      </x:c>
      <x:c r="I41" s="8" t="str">
        <x:v>CA</x:v>
      </x:c>
      <x:c r="J41" s="8" t="str">
        <x:v>ON</x:v>
      </x:c>
      <x:c r="K41" s="14" t="n">
        <x:v>2027</x:v>
      </x:c>
      <x:c r="L41" s="8" t="str">
        <x:v>Cecilia Li</x:v>
      </x:c>
      <x:c r="M41" s="8" t="str">
        <x:v>Cecilia</x:v>
      </x:c>
      <x:c r="N41" s="8" t="str">
        <x:v>Li</x:v>
      </x:c>
      <x:c r="O41" s="8" t="str"/>
      <x:c r="P41" s="15" t="str"/>
      <x:c r="Q41" s="8" t="str">
        <x:v>Huron University at Western University in Ontario</x:v>
      </x:c>
      <x:c r="R41" s="8" t="str">
        <x:v>Existing</x:v>
      </x:c>
      <x:c r="S41" s="15" t="str">
        <x:v>Existing database value</x:v>
      </x:c>
      <x:c r="T41" s="8" t="str">
        <x:v>Canada Ontario</x:v>
      </x:c>
      <x:c r="U41" s="8" t="str">
        <x:v>Existing</x:v>
      </x:c>
      <x:c r="V41" s="15" t="str">
        <x:v>Existing database value</x:v>
      </x:c>
      <x:c r="W41" s="8" t="str"/>
      <x:c r="X41" s="8" t="str"/>
      <x:c r="Y41" s="8" t="str">
        <x:v>No change proposed</x:v>
      </x:c>
      <x:c r="Z41" s="20" t="str"/>
      <x:c r="AA41" s="21" t="str"/>
    </x:row>
    <x:row r="42">
      <x:c r="A42" s="8" t="str">
        <x:v>SAGP001120</x:v>
      </x:c>
      <x:c r="B42" s="8" t="str">
        <x:v>Charles Young</x:v>
      </x:c>
      <x:c r="C42" s="8" t="str">
        <x:v>Charles</x:v>
      </x:c>
      <x:c r="D42" s="8" t="str">
        <x:v>Young</x:v>
      </x:c>
      <x:c r="E42" s="8" t="str">
        <x:v>charles.young@cgu.edu</x:v>
      </x:c>
      <x:c r="F42" s="8" t="str">
        <x:v>cgu.edu</x:v>
      </x:c>
      <x:c r="G42" s="8" t="str"/>
      <x:c r="H42" s="8" t="str"/>
      <x:c r="I42" s="8" t="str"/>
      <x:c r="J42" s="8" t="str"/>
      <x:c r="K42" s="14" t="n">
        <x:v>2025</x:v>
      </x:c>
      <x:c r="L42" s="8" t="str">
        <x:v>Charles Young</x:v>
      </x:c>
      <x:c r="M42" s="8" t="str">
        <x:v>Charles</x:v>
      </x:c>
      <x:c r="N42" s="8" t="str">
        <x:v>Young</x:v>
      </x:c>
      <x:c r="O42" s="8" t="str"/>
      <x:c r="P42" s="15" t="str"/>
      <x:c r="Q42" s="8" t="str">
        <x:v>Claremont Graduate University</x:v>
      </x:c>
      <x:c r="R42" s="8" t="str">
        <x:v>High</x:v>
      </x:c>
      <x:c r="S42" s="15" t="str">
        <x:v>A 2024 obituary identifies Charles M. Young III as a longtime Claremont Graduate University philosophy professor and reports that he died August 30, 2024.</x:v>
      </x:c>
      <x:c r="T42" s="8" t="str"/>
      <x:c r="U42" s="8" t="str"/>
      <x:c r="V42" s="15" t="str"/>
      <x:c r="W42" s="8" t="str">
        <x:v>https://claremontcourier.com/obituaries/obituary-charles-m-young-iii-80711/</x:v>
      </x:c>
      <x:c r="X42" s="8" t="str">
        <x:v>Institution</x:v>
      </x:c>
      <x:c r="Y42" s="19" t="str">
        <x:v>Needs research</x:v>
      </x:c>
      <x:c r="Z42" s="20" t="str"/>
      <x:c r="AA42" s="21" t="str">
        <x:v>IMPORTANT: Member is deceased; remove from the current paid list while retaining the historical CGU affiliation and paid-through value.</x:v>
      </x:c>
    </x:row>
    <x:row r="43">
      <x:c r="A43" s="8" t="str">
        <x:v>SAGP000203</x:v>
      </x:c>
      <x:c r="B43" s="8" t="str">
        <x:v>Chiu Zih-Syuan (Tom)</x:v>
      </x:c>
      <x:c r="C43" s="8" t="str">
        <x:v>Chiu</x:v>
      </x:c>
      <x:c r="D43" s="8" t="str">
        <x:v>(Tom)</x:v>
      </x:c>
      <x:c r="E43" s="8" t="str">
        <x:v>zchiu1@binghamton.edu</x:v>
      </x:c>
      <x:c r="F43" s="8" t="str">
        <x:v>binghamton.edu</x:v>
      </x:c>
      <x:c r="G43" s="8" t="str"/>
      <x:c r="H43" s="8" t="str"/>
      <x:c r="I43" s="8" t="str"/>
      <x:c r="J43" s="8" t="str"/>
      <x:c r="K43" s="14" t="n">
        <x:v>2026</x:v>
      </x:c>
      <x:c r="L43" s="8" t="str">
        <x:v>Chiu Zih-Syuan (Tom)</x:v>
      </x:c>
      <x:c r="M43" s="8" t="str">
        <x:v>Chiu</x:v>
      </x:c>
      <x:c r="N43" s="8" t="str">
        <x:v>(Tom)</x:v>
      </x:c>
      <x:c r="O43" s="8" t="str"/>
      <x:c r="P43" s="15" t="str"/>
      <x:c r="Q43" s="8" t="str">
        <x:v>Binghamton University</x:v>
      </x:c>
      <x:c r="R43" s="8" t="str">
        <x:v>High</x:v>
      </x:c>
      <x:c r="S43" s="15" t="str">
        <x:v>Official Binghamton University page lists Zih-Syuan Chiu and the same email address.</x:v>
      </x:c>
      <x:c r="T43" s="8" t="str"/>
      <x:c r="U43" s="8" t="str"/>
      <x:c r="V43" s="15" t="str"/>
      <x:c r="W43" s="8" t="str">
        <x:v>https://www.binghamton.edu/philosophy/graduate/students.html</x:v>
      </x:c>
      <x:c r="X43" s="8" t="str">
        <x:v>Institution</x:v>
      </x:c>
      <x:c r="Y43" s="17" t="str">
        <x:v>Proposed change</x:v>
      </x:c>
      <x:c r="Z43" s="20" t="str"/>
      <x:c r="AA43" s="21" t="str"/>
    </x:row>
    <x:row r="44">
      <x:c r="A44" s="8" t="str">
        <x:v>SAGP000068</x:v>
      </x:c>
      <x:c r="B44" s="8" t="str">
        <x:v>Claire Bubb</x:v>
      </x:c>
      <x:c r="C44" s="8" t="str">
        <x:v>Claire</x:v>
      </x:c>
      <x:c r="D44" s="8" t="str">
        <x:v>Bubb</x:v>
      </x:c>
      <x:c r="E44" s="8" t="str">
        <x:v>claire.bubb@gmail.com</x:v>
      </x:c>
      <x:c r="F44" s="8" t="str">
        <x:v>gmail.com</x:v>
      </x:c>
      <x:c r="G44" s="8" t="str"/>
      <x:c r="H44" s="8" t="str"/>
      <x:c r="I44" s="8" t="str">
        <x:v>US</x:v>
      </x:c>
      <x:c r="J44" s="8" t="str">
        <x:v>NY</x:v>
      </x:c>
      <x:c r="K44" s="14" t="n">
        <x:v>2025</x:v>
      </x:c>
      <x:c r="L44" s="8" t="str">
        <x:v>Claire Bubb</x:v>
      </x:c>
      <x:c r="M44" s="8" t="str">
        <x:v>Claire</x:v>
      </x:c>
      <x:c r="N44" s="8" t="str">
        <x:v>Bubb</x:v>
      </x:c>
      <x:c r="O44" s="8" t="str"/>
      <x:c r="P44" s="15" t="str"/>
      <x:c r="Q44" s="8" t="str"/>
      <x:c r="R44" s="8" t="str"/>
      <x:c r="S44" s="15" t="str"/>
      <x:c r="T44" s="8" t="str">
        <x:v>USA Eastern</x:v>
      </x:c>
      <x:c r="U44" s="8" t="str">
        <x:v>High</x:v>
      </x:c>
      <x:c r="V44" s="15" t="str">
        <x:v>Existing country and state</x:v>
      </x:c>
      <x:c r="W44" s="8" t="str"/>
      <x:c r="X44" s="8" t="str">
        <x:v>Region</x:v>
      </x:c>
      <x:c r="Y44" s="17" t="str">
        <x:v>Proposed change</x:v>
      </x:c>
      <x:c r="Z44" s="20" t="str"/>
      <x:c r="AA44" s="21" t="str"/>
    </x:row>
    <x:row r="45">
      <x:c r="A45" s="8" t="str">
        <x:v>SAGP000373</x:v>
      </x:c>
      <x:c r="B45" s="8" t="str">
        <x:v>Coleen Zoller</x:v>
      </x:c>
      <x:c r="C45" s="8" t="str">
        <x:v>Coleen</x:v>
      </x:c>
      <x:c r="D45" s="8" t="str">
        <x:v>Zoller</x:v>
      </x:c>
      <x:c r="E45" s="8" t="str">
        <x:v>zoller@susqu.edu</x:v>
      </x:c>
      <x:c r="F45" s="8" t="str">
        <x:v>susqu.edu</x:v>
      </x:c>
      <x:c r="G45" s="8" t="str"/>
      <x:c r="H45" s="8" t="str"/>
      <x:c r="I45" s="8" t="str">
        <x:v>US</x:v>
      </x:c>
      <x:c r="J45" s="8" t="str">
        <x:v>PA</x:v>
      </x:c>
      <x:c r="K45" s="14" t="n">
        <x:v>2025</x:v>
      </x:c>
      <x:c r="L45" s="8" t="str">
        <x:v>Coleen Zoller</x:v>
      </x:c>
      <x:c r="M45" s="8" t="str">
        <x:v>Coleen</x:v>
      </x:c>
      <x:c r="N45" s="8" t="str">
        <x:v>Zoller</x:v>
      </x:c>
      <x:c r="O45" s="8" t="str"/>
      <x:c r="P45" s="15" t="str"/>
      <x:c r="Q45" s="8" t="str">
        <x:v>Susquehanna University</x:v>
      </x:c>
      <x:c r="R45" s="8" t="str">
        <x:v>High</x:v>
      </x:c>
      <x:c r="S45" s="15" t="str">
        <x:v>Official Susquehanna University profile lists Coleen Zoller.</x:v>
      </x:c>
      <x:c r="T45" s="8" t="str">
        <x:v>USA Eastern</x:v>
      </x:c>
      <x:c r="U45" s="8" t="str">
        <x:v>High</x:v>
      </x:c>
      <x:c r="V45" s="15" t="str">
        <x:v>Existing country and state</x:v>
      </x:c>
      <x:c r="W45" s="8" t="str">
        <x:v>https://www.susqu.edu/profiles/zoller/</x:v>
      </x:c>
      <x:c r="X45" s="8" t="str">
        <x:v>Institution, Region</x:v>
      </x:c>
      <x:c r="Y45" s="17" t="str">
        <x:v>Proposed change</x:v>
      </x:c>
      <x:c r="Z45" s="20" t="str"/>
      <x:c r="AA45" s="21" t="str"/>
    </x:row>
    <x:row r="46">
      <x:c r="A46" s="8" t="str">
        <x:v>SAGP000696</x:v>
      </x:c>
      <x:c r="B46" s="8" t="str">
        <x:v>Colin Smith</x:v>
      </x:c>
      <x:c r="C46" s="8" t="str">
        <x:v>Colin</x:v>
      </x:c>
      <x:c r="D46" s="8" t="str">
        <x:v>Smith</x:v>
      </x:c>
      <x:c r="E46" s="8" t="str">
        <x:v>colinclarksmith@gmail.com</x:v>
      </x:c>
      <x:c r="F46" s="8" t="str">
        <x:v>gmail.com</x:v>
      </x:c>
      <x:c r="G46" s="8" t="str">
        <x:v>University of Colorado Boulder</x:v>
      </x:c>
      <x:c r="H46" s="8" t="str"/>
      <x:c r="I46" s="8" t="str">
        <x:v>US</x:v>
      </x:c>
      <x:c r="J46" s="8" t="str">
        <x:v>KY</x:v>
      </x:c>
      <x:c r="K46" s="14" t="n">
        <x:v>2026</x:v>
      </x:c>
      <x:c r="L46" s="8" t="str">
        <x:v>Colin Smith</x:v>
      </x:c>
      <x:c r="M46" s="8" t="str">
        <x:v>Colin</x:v>
      </x:c>
      <x:c r="N46" s="8" t="str">
        <x:v>Smith</x:v>
      </x:c>
      <x:c r="O46" s="8" t="str"/>
      <x:c r="P46" s="15" t="str"/>
      <x:c r="Q46" s="8" t="str">
        <x:v>University of Colorado Boulder</x:v>
      </x:c>
      <x:c r="R46" s="8" t="str">
        <x:v>Existing</x:v>
      </x:c>
      <x:c r="S46" s="15" t="str">
        <x:v>Existing database value</x:v>
      </x:c>
      <x:c r="T46" s="8" t="str">
        <x:v>USA Central</x:v>
      </x:c>
      <x:c r="U46" s="8" t="str">
        <x:v>High</x:v>
      </x:c>
      <x:c r="V46" s="15" t="str">
        <x:v>Existing country and state</x:v>
      </x:c>
      <x:c r="W46" s="8" t="str"/>
      <x:c r="X46" s="8" t="str">
        <x:v>Region</x:v>
      </x:c>
      <x:c r="Y46" s="17" t="str">
        <x:v>Proposed change</x:v>
      </x:c>
      <x:c r="Z46" s="20" t="str"/>
      <x:c r="AA46" s="21" t="str"/>
    </x:row>
    <x:row r="47">
      <x:c r="A47" s="8" t="str">
        <x:v>SAGP000610</x:v>
      </x:c>
      <x:c r="B47" s="8" t="str">
        <x:v>Colleen Coyle</x:v>
      </x:c>
      <x:c r="C47" s="8" t="str">
        <x:v>Colleen</x:v>
      </x:c>
      <x:c r="D47" s="8" t="str">
        <x:v>Coyle</x:v>
      </x:c>
      <x:c r="E47" s="8" t="str"/>
      <x:c r="F47" s="8" t="str"/>
      <x:c r="G47" s="8" t="str">
        <x:v>Peace Corps as of 2020!</x:v>
      </x:c>
      <x:c r="H47" s="8" t="str"/>
      <x:c r="I47" s="8" t="str"/>
      <x:c r="J47" s="8" t="str"/>
      <x:c r="K47" s="14" t="n">
        <x:v>2026</x:v>
      </x:c>
      <x:c r="L47" s="8" t="str">
        <x:v>Colleen Coyle</x:v>
      </x:c>
      <x:c r="M47" s="8" t="str">
        <x:v>Colleen</x:v>
      </x:c>
      <x:c r="N47" s="8" t="str">
        <x:v>Coyle</x:v>
      </x:c>
      <x:c r="O47" s="8" t="str"/>
      <x:c r="P47" s="15" t="str"/>
      <x:c r="Q47" s="8" t="str">
        <x:v>Peace Corps as of 2020!</x:v>
      </x:c>
      <x:c r="R47" s="8" t="str">
        <x:v>Existing</x:v>
      </x:c>
      <x:c r="S47" s="15" t="str">
        <x:v>Existing database value</x:v>
      </x:c>
      <x:c r="T47" s="8" t="str"/>
      <x:c r="U47" s="8" t="str"/>
      <x:c r="V47" s="15" t="str"/>
      <x:c r="W47" s="8" t="str"/>
      <x:c r="X47" s="8" t="str"/>
      <x:c r="Y47" s="19" t="str">
        <x:v>Needs research</x:v>
      </x:c>
      <x:c r="Z47" s="20" t="str"/>
      <x:c r="AA47" s="21" t="str"/>
    </x:row>
    <x:row r="48">
      <x:c r="A48" s="8" t="str">
        <x:v>SAGP000073</x:v>
      </x:c>
      <x:c r="B48" s="8" t="str">
        <x:v>Condie Jack</x:v>
      </x:c>
      <x:c r="C48" s="8" t="str">
        <x:v>Condie</x:v>
      </x:c>
      <x:c r="D48" s="8" t="str">
        <x:v>Jack</x:v>
      </x:c>
      <x:c r="E48" s="8" t="str">
        <x:v>condj411@newschool.edu&gt;</x:v>
      </x:c>
      <x:c r="F48" s="8" t="str">
        <x:v>newschool.edu</x:v>
      </x:c>
      <x:c r="G48" s="8" t="str"/>
      <x:c r="H48" s="8" t="str"/>
      <x:c r="I48" s="8" t="str"/>
      <x:c r="J48" s="8" t="str"/>
      <x:c r="K48" s="14" t="n">
        <x:v>2025</x:v>
      </x:c>
      <x:c r="L48" s="8" t="str">
        <x:v>Condie Jack</x:v>
      </x:c>
      <x:c r="M48" s="8" t="str">
        <x:v>Condie</x:v>
      </x:c>
      <x:c r="N48" s="8" t="str">
        <x:v>Jack</x:v>
      </x:c>
      <x:c r="O48" s="8" t="str"/>
      <x:c r="P48" s="15" t="str"/>
      <x:c r="Q48" s="8" t="str"/>
      <x:c r="R48" s="8" t="str"/>
      <x:c r="S48" s="15" t="str"/>
      <x:c r="T48" s="8" t="str"/>
      <x:c r="U48" s="8" t="str"/>
      <x:c r="V48" s="15" t="str"/>
      <x:c r="W48" s="8" t="str"/>
      <x:c r="X48" s="8" t="str"/>
      <x:c r="Y48" s="19" t="str">
        <x:v>Needs research</x:v>
      </x:c>
      <x:c r="Z48" s="20" t="str"/>
      <x:c r="AA48" s="21" t="str"/>
    </x:row>
    <x:row r="49">
      <x:c r="A49" s="8" t="str">
        <x:v>SAGP000006</x:v>
      </x:c>
      <x:c r="B49" s="8" t="str">
        <x:v>Condon Isabel</x:v>
      </x:c>
      <x:c r="C49" s="8" t="str">
        <x:v>Condon</x:v>
      </x:c>
      <x:c r="D49" s="8" t="str">
        <x:v>Isabel</x:v>
      </x:c>
      <x:c r="E49" s="8" t="str">
        <x:v>condoni@cua.edu</x:v>
      </x:c>
      <x:c r="F49" s="8" t="str">
        <x:v>cua.edu</x:v>
      </x:c>
      <x:c r="G49" s="8" t="str">
        <x:v>CUA</x:v>
      </x:c>
      <x:c r="H49" s="8" t="str"/>
      <x:c r="I49" s="8" t="str"/>
      <x:c r="J49" s="8" t="str"/>
      <x:c r="K49" s="14" t="n">
        <x:v>2025</x:v>
      </x:c>
      <x:c r="L49" s="8" t="str">
        <x:v>Condon Isabel</x:v>
      </x:c>
      <x:c r="M49" s="8" t="str">
        <x:v>Condon</x:v>
      </x:c>
      <x:c r="N49" s="8" t="str">
        <x:v>Isabel</x:v>
      </x:c>
      <x:c r="O49" s="8" t="str"/>
      <x:c r="P49" s="15" t="str"/>
      <x:c r="Q49" s="8" t="str">
        <x:v>CUA</x:v>
      </x:c>
      <x:c r="R49" s="8" t="str">
        <x:v>Existing</x:v>
      </x:c>
      <x:c r="S49" s="15" t="str">
        <x:v>Existing database value</x:v>
      </x:c>
      <x:c r="T49" s="8" t="str"/>
      <x:c r="U49" s="8" t="str"/>
      <x:c r="V49" s="15" t="str"/>
      <x:c r="W49" s="8" t="str"/>
      <x:c r="X49" s="8" t="str"/>
      <x:c r="Y49" s="19" t="str">
        <x:v>Needs research</x:v>
      </x:c>
      <x:c r="Z49" s="20" t="str"/>
      <x:c r="AA49" s="21" t="str"/>
    </x:row>
    <x:row r="50">
      <x:c r="A50" s="8" t="str">
        <x:v>SAGP001240</x:v>
      </x:c>
      <x:c r="B50" s="8" t="str">
        <x:v>Connell Sophia</x:v>
      </x:c>
      <x:c r="C50" s="8" t="str">
        <x:v>Connell</x:v>
      </x:c>
      <x:c r="D50" s="8" t="str">
        <x:v>Sophia</x:v>
      </x:c>
      <x:c r="E50" s="8" t="str">
        <x:v>sophia.connell@bbk.ac.uk</x:v>
      </x:c>
      <x:c r="F50" s="8" t="str">
        <x:v>bbk.ac.uk</x:v>
      </x:c>
      <x:c r="G50" s="8" t="str"/>
      <x:c r="H50" s="8" t="str"/>
      <x:c r="I50" s="8" t="str">
        <x:v>GB ::: US</x:v>
      </x:c>
      <x:c r="J50" s="8" t="str">
        <x:v>:::</x:v>
      </x:c>
      <x:c r="K50" s="14" t="n">
        <x:v>2025</x:v>
      </x:c>
      <x:c r="L50" s="8" t="str">
        <x:v>Sophia Connell</x:v>
      </x:c>
      <x:c r="M50" s="8" t="str">
        <x:v>Sophia</x:v>
      </x:c>
      <x:c r="N50" s="8" t="str">
        <x:v>Connell</x:v>
      </x:c>
      <x:c r="O50" s="8" t="str">
        <x:v>High</x:v>
      </x:c>
      <x:c r="P50" s="15" t="str">
        <x:v>Email address pattern strongly supports given-name/surname reversal</x:v>
      </x:c>
      <x:c r="Q50" s="8" t="str">
        <x:v>Birkbeck, University of London</x:v>
      </x:c>
      <x:c r="R50" s="8" t="str">
        <x:v>High</x:v>
      </x:c>
      <x:c r="S50" s="15" t="str">
        <x:v>Official Birkbeck page identifies Sophia Connell as Philosophy staff.</x:v>
      </x:c>
      <x:c r="T50" s="8" t="str">
        <x:v>Europe</x:v>
      </x:c>
      <x:c r="U50" s="8" t="str">
        <x:v>Medium</x:v>
      </x:c>
      <x:c r="V50" s="15" t="str">
        <x:v>Institutional email country domain</x:v>
      </x:c>
      <x:c r="W50" s="8" t="str">
        <x:v>https://www.bbk.ac.uk/events/event/42593/introduction-to-ba-philosophy-for-offer-holders</x:v>
      </x:c>
      <x:c r="X50" s="8" t="str">
        <x:v>Name, Institution, Region</x:v>
      </x:c>
      <x:c r="Y50" s="17" t="str">
        <x:v>Proposed change</x:v>
      </x:c>
      <x:c r="Z50" s="20" t="str"/>
      <x:c r="AA50" s="21" t="str"/>
    </x:row>
    <x:row r="51">
      <x:c r="A51" s="8" t="str">
        <x:v>SAGP000791</x:v>
      </x:c>
      <x:c r="B51" s="8" t="str">
        <x:v>Cunningham Gabby</x:v>
      </x:c>
      <x:c r="C51" s="8" t="str">
        <x:v>Cunningham</x:v>
      </x:c>
      <x:c r="D51" s="8" t="str">
        <x:v>Gabby</x:v>
      </x:c>
      <x:c r="E51" s="8" t="str">
        <x:v>gabby_cunningham1@baylor.edu</x:v>
      </x:c>
      <x:c r="F51" s="8" t="str">
        <x:v>baylor.edu</x:v>
      </x:c>
      <x:c r="G51" s="8" t="str">
        <x:v>Baylor University</x:v>
      </x:c>
      <x:c r="H51" s="8" t="str"/>
      <x:c r="I51" s="8" t="str">
        <x:v>US</x:v>
      </x:c>
      <x:c r="J51" s="8" t="str">
        <x:v>TX</x:v>
      </x:c>
      <x:c r="K51" s="14" t="n">
        <x:v>2025</x:v>
      </x:c>
      <x:c r="L51" s="8" t="str">
        <x:v>Gabby Cunningham</x:v>
      </x:c>
      <x:c r="M51" s="8" t="str">
        <x:v>Gabby</x:v>
      </x:c>
      <x:c r="N51" s="8" t="str">
        <x:v>Cunningham</x:v>
      </x:c>
      <x:c r="O51" s="8" t="str">
        <x:v>High</x:v>
      </x:c>
      <x:c r="P51" s="15" t="str">
        <x:v>Email address pattern strongly supports given-name/surname reversal</x:v>
      </x:c>
      <x:c r="Q51" s="8" t="str">
        <x:v>Baylor University</x:v>
      </x:c>
      <x:c r="R51" s="8" t="str">
        <x:v>Existing</x:v>
      </x:c>
      <x:c r="S51" s="15" t="str">
        <x:v>Existing database value</x:v>
      </x:c>
      <x:c r="T51" s="8" t="str">
        <x:v>USA Central</x:v>
      </x:c>
      <x:c r="U51" s="8" t="str">
        <x:v>High</x:v>
      </x:c>
      <x:c r="V51" s="15" t="str">
        <x:v>Existing country and state</x:v>
      </x:c>
      <x:c r="W51" s="8" t="str"/>
      <x:c r="X51" s="8" t="str">
        <x:v>Name, Region</x:v>
      </x:c>
      <x:c r="Y51" s="17" t="str">
        <x:v>Proposed change</x:v>
      </x:c>
      <x:c r="Z51" s="20" t="str"/>
      <x:c r="AA51" s="21" t="str"/>
    </x:row>
    <x:row r="52">
      <x:c r="A52" s="8" t="str">
        <x:v>SAGP000899</x:v>
      </x:c>
      <x:c r="B52" s="8" t="str">
        <x:v>Cynthia Freeland</x:v>
      </x:c>
      <x:c r="C52" s="8" t="str">
        <x:v>Cynthia</x:v>
      </x:c>
      <x:c r="D52" s="8" t="str">
        <x:v>Freeland</x:v>
      </x:c>
      <x:c r="E52" s="8" t="str">
        <x:v>cfreeland@uh.edu</x:v>
      </x:c>
      <x:c r="F52" s="8" t="str">
        <x:v>uh.edu</x:v>
      </x:c>
      <x:c r="G52" s="8" t="str"/>
      <x:c r="H52" s="8" t="str"/>
      <x:c r="I52" s="8" t="str">
        <x:v>US</x:v>
      </x:c>
      <x:c r="J52" s="8" t="str"/>
      <x:c r="K52" s="14" t="n">
        <x:v>2031</x:v>
      </x:c>
      <x:c r="L52" s="8" t="str">
        <x:v>Cynthia Freeland</x:v>
      </x:c>
      <x:c r="M52" s="8" t="str">
        <x:v>Cynthia</x:v>
      </x:c>
      <x:c r="N52" s="8" t="str">
        <x:v>Freeland</x:v>
      </x:c>
      <x:c r="O52" s="8" t="str"/>
      <x:c r="P52" s="15" t="str"/>
      <x:c r="Q52" s="8" t="str">
        <x:v>University of Houston</x:v>
      </x:c>
      <x:c r="R52" s="8" t="str">
        <x:v>High</x:v>
      </x:c>
      <x:c r="S52" s="15" t="str">
        <x:v>The current official University of Houston Philosophy people page lists Cynthia A. Freeland as Moores Professor Emeritus with the same email address.</x:v>
      </x:c>
      <x:c r="T52" s="8" t="str"/>
      <x:c r="U52" s="8" t="str"/>
      <x:c r="V52" s="15" t="str"/>
      <x:c r="W52" s="8" t="str">
        <x:v>https://www.campusnet.uh.edu/class/philosophy/people/index.php</x:v>
      </x:c>
      <x:c r="X52" s="8" t="str">
        <x:v>Institution</x:v>
      </x:c>
      <x:c r="Y52" s="17" t="str">
        <x:v>Proposed change</x:v>
      </x:c>
      <x:c r="Z52" s="20" t="str"/>
      <x:c r="AA52" s="21" t="str">
        <x:v>Confirmed current emerita affiliation.</x:v>
      </x:c>
    </x:row>
    <x:row r="53">
      <x:c r="A53" s="8" t="str">
        <x:v>SAGP001604</x:v>
      </x:c>
      <x:c r="B53" s="8" t="str">
        <x:v>Daniel Maher</x:v>
      </x:c>
      <x:c r="C53" s="8" t="str">
        <x:v>Daniel</x:v>
      </x:c>
      <x:c r="D53" s="8" t="str">
        <x:v>Maher</x:v>
      </x:c>
      <x:c r="E53" s="8" t="str">
        <x:v>dmaher@assumption.edu</x:v>
      </x:c>
      <x:c r="F53" s="8" t="str">
        <x:v>assumption.edu</x:v>
      </x:c>
      <x:c r="G53" s="8" t="str">
        <x:v>Assumption University</x:v>
      </x:c>
      <x:c r="H53" s="8" t="str">
        <x:v>USA Eastern</x:v>
      </x:c>
      <x:c r="I53" s="8" t="str">
        <x:v>US</x:v>
      </x:c>
      <x:c r="J53" s="8" t="str">
        <x:v>MA</x:v>
      </x:c>
      <x:c r="K53" s="14" t="n">
        <x:v>2031</x:v>
      </x:c>
      <x:c r="L53" s="8" t="str">
        <x:v>Daniel Maher</x:v>
      </x:c>
      <x:c r="M53" s="8" t="str">
        <x:v>Daniel</x:v>
      </x:c>
      <x:c r="N53" s="8" t="str">
        <x:v>Maher</x:v>
      </x:c>
      <x:c r="O53" s="8" t="str"/>
      <x:c r="P53" s="15" t="str"/>
      <x:c r="Q53" s="8" t="str">
        <x:v>Assumption University</x:v>
      </x:c>
      <x:c r="R53" s="8" t="str">
        <x:v>Existing</x:v>
      </x:c>
      <x:c r="S53" s="15" t="str">
        <x:v>Existing database value</x:v>
      </x:c>
      <x:c r="T53" s="8" t="str">
        <x:v>USA Eastern</x:v>
      </x:c>
      <x:c r="U53" s="8" t="str">
        <x:v>Existing</x:v>
      </x:c>
      <x:c r="V53" s="15" t="str">
        <x:v>Existing database value</x:v>
      </x:c>
      <x:c r="W53" s="8" t="str"/>
      <x:c r="X53" s="8" t="str"/>
      <x:c r="Y53" s="8" t="str">
        <x:v>No change proposed</x:v>
      </x:c>
      <x:c r="Z53" s="20" t="str"/>
      <x:c r="AA53" s="21" t="str"/>
    </x:row>
    <x:row r="54">
      <x:c r="A54" s="8" t="str">
        <x:v>SAGP000677</x:v>
      </x:c>
      <x:c r="B54" s="8" t="str">
        <x:v>Daniel Propson</x:v>
      </x:c>
      <x:c r="C54" s="8" t="str">
        <x:v>Daniel</x:v>
      </x:c>
      <x:c r="D54" s="8" t="str">
        <x:v>Propson</x:v>
      </x:c>
      <x:c r="E54" s="8" t="str">
        <x:v>danielcpropson@gmail.com</x:v>
      </x:c>
      <x:c r="F54" s="8" t="str">
        <x:v>gmail.com</x:v>
      </x:c>
      <x:c r="G54" s="8" t="str"/>
      <x:c r="H54" s="8" t="str"/>
      <x:c r="I54" s="8" t="str"/>
      <x:c r="J54" s="8" t="str">
        <x:v>MI</x:v>
      </x:c>
      <x:c r="K54" s="14" t="n">
        <x:v>2025</x:v>
      </x:c>
      <x:c r="L54" s="8" t="str">
        <x:v>Daniel Propson</x:v>
      </x:c>
      <x:c r="M54" s="8" t="str">
        <x:v>Daniel</x:v>
      </x:c>
      <x:c r="N54" s="8" t="str">
        <x:v>Propson</x:v>
      </x:c>
      <x:c r="O54" s="8" t="str"/>
      <x:c r="P54" s="15" t="str"/>
      <x:c r="Q54" s="8" t="str"/>
      <x:c r="R54" s="8" t="str"/>
      <x:c r="S54" s="15" t="str"/>
      <x:c r="T54" s="8" t="str"/>
      <x:c r="U54" s="8" t="str"/>
      <x:c r="V54" s="15" t="str"/>
      <x:c r="W54" s="8" t="str"/>
      <x:c r="X54" s="8" t="str"/>
      <x:c r="Y54" s="19" t="str">
        <x:v>Needs research</x:v>
      </x:c>
      <x:c r="Z54" s="20" t="str"/>
      <x:c r="AA54" s="21" t="str"/>
    </x:row>
    <x:row r="55">
      <x:c r="A55" s="8" t="str">
        <x:v>SAGP000940</x:v>
      </x:c>
      <x:c r="B55" s="8" t="str">
        <x:v>Daniel Silvermintz</x:v>
      </x:c>
      <x:c r="C55" s="8" t="str">
        <x:v>Daniel</x:v>
      </x:c>
      <x:c r="D55" s="8" t="str">
        <x:v>Silvermintz</x:v>
      </x:c>
      <x:c r="E55" s="8" t="str">
        <x:v>silvermintz@uhcl.edu</x:v>
      </x:c>
      <x:c r="F55" s="8" t="str">
        <x:v>uhcl.edu</x:v>
      </x:c>
      <x:c r="G55" s="8" t="str"/>
      <x:c r="H55" s="8" t="str"/>
      <x:c r="I55" s="8" t="str"/>
      <x:c r="J55" s="8" t="str"/>
      <x:c r="K55" s="14" t="n">
        <x:v>2028</x:v>
      </x:c>
      <x:c r="L55" s="8" t="str">
        <x:v>Daniel Silvermintz</x:v>
      </x:c>
      <x:c r="M55" s="8" t="str">
        <x:v>Daniel</x:v>
      </x:c>
      <x:c r="N55" s="8" t="str">
        <x:v>Silvermintz</x:v>
      </x:c>
      <x:c r="O55" s="8" t="str"/>
      <x:c r="P55" s="15" t="str"/>
      <x:c r="Q55" s="8" t="str">
        <x:v>University of Houston–Clear Lake</x:v>
      </x:c>
      <x:c r="R55" s="8" t="str">
        <x:v>High</x:v>
      </x:c>
      <x:c r="S55" s="15" t="str">
        <x:v>Official UHCL profile lists Daniel Silvermintz and the same email address.</x:v>
      </x:c>
      <x:c r="T55" s="8" t="str"/>
      <x:c r="U55" s="8" t="str"/>
      <x:c r="V55" s="15" t="str"/>
      <x:c r="W55" s="8" t="str">
        <x:v>https://eportfolio.uhcl.edu/human-sciences-humanities/faculty/silvermintz-daniel</x:v>
      </x:c>
      <x:c r="X55" s="8" t="str">
        <x:v>Institution</x:v>
      </x:c>
      <x:c r="Y55" s="17" t="str">
        <x:v>Proposed change</x:v>
      </x:c>
      <x:c r="Z55" s="20" t="str"/>
      <x:c r="AA55" s="21" t="str"/>
    </x:row>
    <x:row r="56">
      <x:c r="A56" s="8" t="str">
        <x:v>SAGP001584</x:v>
      </x:c>
      <x:c r="B56" s="8" t="str">
        <x:v>Danielle Layne</x:v>
      </x:c>
      <x:c r="C56" s="8" t="str">
        <x:v>Danielle</x:v>
      </x:c>
      <x:c r="D56" s="8" t="str">
        <x:v>Layne</x:v>
      </x:c>
      <x:c r="E56" s="8" t="str">
        <x:v>dannylayne1@hotmail.com</x:v>
      </x:c>
      <x:c r="F56" s="8" t="str">
        <x:v>hotmail.com</x:v>
      </x:c>
      <x:c r="G56" s="8" t="str"/>
      <x:c r="H56" s="8" t="str"/>
      <x:c r="I56" s="8" t="str"/>
      <x:c r="J56" s="8" t="str"/>
      <x:c r="K56" s="14" t="n">
        <x:v>2026</x:v>
      </x:c>
      <x:c r="L56" s="8" t="str">
        <x:v>Danielle Layne</x:v>
      </x:c>
      <x:c r="M56" s="8" t="str">
        <x:v>Danielle</x:v>
      </x:c>
      <x:c r="N56" s="8" t="str">
        <x:v>Layne</x:v>
      </x:c>
      <x:c r="O56" s="8" t="str"/>
      <x:c r="P56" s="15" t="str"/>
      <x:c r="Q56" s="8" t="str"/>
      <x:c r="R56" s="8" t="str"/>
      <x:c r="S56" s="15" t="str"/>
      <x:c r="T56" s="8" t="str"/>
      <x:c r="U56" s="8" t="str"/>
      <x:c r="V56" s="15" t="str"/>
      <x:c r="W56" s="8" t="str"/>
      <x:c r="X56" s="8" t="str"/>
      <x:c r="Y56" s="19" t="str">
        <x:v>Needs research</x:v>
      </x:c>
      <x:c r="Z56" s="20" t="str"/>
      <x:c r="AA56" s="21" t="str"/>
    </x:row>
    <x:row r="57">
      <x:c r="A57" s="8" t="str">
        <x:v>SAGP000799</x:v>
      </x:c>
      <x:c r="B57" s="8" t="str">
        <x:v>David Ebrey</x:v>
      </x:c>
      <x:c r="C57" s="8" t="str">
        <x:v>David</x:v>
      </x:c>
      <x:c r="D57" s="8" t="str">
        <x:v>Ebrey</x:v>
      </x:c>
      <x:c r="E57" s="8" t="str">
        <x:v>david.ebrey@gmail.com</x:v>
      </x:c>
      <x:c r="F57" s="8" t="str">
        <x:v>gmail.com</x:v>
      </x:c>
      <x:c r="G57" s="8" t="str">
        <x:v>Northwestern University</x:v>
      </x:c>
      <x:c r="H57" s="8" t="str"/>
      <x:c r="I57" s="8" t="str"/>
      <x:c r="J57" s="8" t="str">
        <x:v>IL</x:v>
      </x:c>
      <x:c r="K57" s="14" t="n">
        <x:v>2026</x:v>
      </x:c>
      <x:c r="L57" s="8" t="str">
        <x:v>David Ebrey</x:v>
      </x:c>
      <x:c r="M57" s="8" t="str">
        <x:v>David</x:v>
      </x:c>
      <x:c r="N57" s="8" t="str">
        <x:v>Ebrey</x:v>
      </x:c>
      <x:c r="O57" s="8" t="str"/>
      <x:c r="P57" s="15" t="str"/>
      <x:c r="Q57" s="8" t="str">
        <x:v>Northwestern University</x:v>
      </x:c>
      <x:c r="R57" s="8" t="str">
        <x:v>Existing</x:v>
      </x:c>
      <x:c r="S57" s="15" t="str">
        <x:v>Existing database value</x:v>
      </x:c>
      <x:c r="T57" s="8" t="str"/>
      <x:c r="U57" s="8" t="str"/>
      <x:c r="V57" s="15" t="str"/>
      <x:c r="W57" s="8" t="str"/>
      <x:c r="X57" s="8" t="str"/>
      <x:c r="Y57" s="19" t="str">
        <x:v>Needs research</x:v>
      </x:c>
      <x:c r="Z57" s="20" t="str"/>
      <x:c r="AA57" s="21" t="str"/>
    </x:row>
    <x:row r="58">
      <x:c r="A58" s="8" t="str">
        <x:v>SAGP001156</x:v>
      </x:c>
      <x:c r="B58" s="8" t="str">
        <x:v>David Guetter</x:v>
      </x:c>
      <x:c r="C58" s="8" t="str">
        <x:v>David</x:v>
      </x:c>
      <x:c r="D58" s="8" t="str">
        <x:v>Guetter</x:v>
      </x:c>
      <x:c r="E58" s="8" t="str">
        <x:v>guetter@uwindsor.ca</x:v>
      </x:c>
      <x:c r="F58" s="8" t="str">
        <x:v>uwindsor.ca</x:v>
      </x:c>
      <x:c r="G58" s="8" t="str"/>
      <x:c r="H58" s="8" t="str"/>
      <x:c r="I58" s="8" t="str"/>
      <x:c r="J58" s="8" t="str"/>
      <x:c r="K58" s="14" t="n">
        <x:v>2025</x:v>
      </x:c>
      <x:c r="L58" s="8" t="str">
        <x:v>David Guetter</x:v>
      </x:c>
      <x:c r="M58" s="8" t="str">
        <x:v>David</x:v>
      </x:c>
      <x:c r="N58" s="8" t="str">
        <x:v>Guetter</x:v>
      </x:c>
      <x:c r="O58" s="8" t="str"/>
      <x:c r="P58" s="15" t="str"/>
      <x:c r="Q58" s="8" t="str">
        <x:v>University of Windsor</x:v>
      </x:c>
      <x:c r="R58" s="8" t="str">
        <x:v>High</x:v>
      </x:c>
      <x:c r="S58" s="15" t="str">
        <x:v>Official University of Windsor Philosophy profile lists David Guetter.</x:v>
      </x:c>
      <x:c r="T58" s="8" t="str"/>
      <x:c r="U58" s="8" t="str"/>
      <x:c r="V58" s="15" t="str"/>
      <x:c r="W58" s="8" t="str">
        <x:v>https://www.uwindsor.ca/philosophy/342/dr-david-guetter</x:v>
      </x:c>
      <x:c r="X58" s="8" t="str">
        <x:v>Institution</x:v>
      </x:c>
      <x:c r="Y58" s="17" t="str">
        <x:v>Proposed change</x:v>
      </x:c>
      <x:c r="Z58" s="20" t="str"/>
      <x:c r="AA58" s="21" t="str"/>
    </x:row>
    <x:row r="59">
      <x:c r="A59" s="8" t="str">
        <x:v>SAGP001058</x:v>
      </x:c>
      <x:c r="B59" s="8" t="str">
        <x:v>David Jennings</x:v>
      </x:c>
      <x:c r="C59" s="8" t="str">
        <x:v>David</x:v>
      </x:c>
      <x:c r="D59" s="8" t="str">
        <x:v>Jennings</x:v>
      </x:c>
      <x:c r="E59" s="8" t="str">
        <x:v>davidleejennings@gmail.com</x:v>
      </x:c>
      <x:c r="F59" s="8" t="str">
        <x:v>gmail.com</x:v>
      </x:c>
      <x:c r="G59" s="8" t="str"/>
      <x:c r="H59" s="8" t="str"/>
      <x:c r="I59" s="8" t="str">
        <x:v>US</x:v>
      </x:c>
      <x:c r="J59" s="8" t="str"/>
      <x:c r="K59" s="14" t="n">
        <x:v>2025</x:v>
      </x:c>
      <x:c r="L59" s="8" t="str">
        <x:v>David Jennings</x:v>
      </x:c>
      <x:c r="M59" s="8" t="str">
        <x:v>David</x:v>
      </x:c>
      <x:c r="N59" s="8" t="str">
        <x:v>Jennings</x:v>
      </x:c>
      <x:c r="O59" s="8" t="str"/>
      <x:c r="P59" s="15" t="str"/>
      <x:c r="Q59" s="8" t="str"/>
      <x:c r="R59" s="8" t="str"/>
      <x:c r="S59" s="15" t="str"/>
      <x:c r="T59" s="8" t="str"/>
      <x:c r="U59" s="8" t="str"/>
      <x:c r="V59" s="15" t="str"/>
      <x:c r="W59" s="8" t="str"/>
      <x:c r="X59" s="8" t="str"/>
      <x:c r="Y59" s="19" t="str">
        <x:v>Needs research</x:v>
      </x:c>
      <x:c r="Z59" s="20" t="str"/>
      <x:c r="AA59" s="21" t="str"/>
    </x:row>
    <x:row r="60">
      <x:c r="A60" s="8" t="str">
        <x:v>SAGP000226</x:v>
      </x:c>
      <x:c r="B60" s="8" t="str">
        <x:v>David Levy</x:v>
      </x:c>
      <x:c r="C60" s="8" t="str">
        <x:v>David</x:v>
      </x:c>
      <x:c r="D60" s="8" t="str">
        <x:v>Levy</x:v>
      </x:c>
      <x:c r="E60" s="8" t="str">
        <x:v>levy@geneseo.edu</x:v>
      </x:c>
      <x:c r="F60" s="8" t="str">
        <x:v>geneseo.edu</x:v>
      </x:c>
      <x:c r="G60" s="8" t="str"/>
      <x:c r="H60" s="8" t="str"/>
      <x:c r="I60" s="8" t="str">
        <x:v>US ::: US</x:v>
      </x:c>
      <x:c r="J60" s="8" t="str">
        <x:v>NY ::: NY</x:v>
      </x:c>
      <x:c r="K60" s="14" t="n">
        <x:v>2026</x:v>
      </x:c>
      <x:c r="L60" s="8" t="str">
        <x:v>David Levy</x:v>
      </x:c>
      <x:c r="M60" s="8" t="str">
        <x:v>David</x:v>
      </x:c>
      <x:c r="N60" s="8" t="str">
        <x:v>Levy</x:v>
      </x:c>
      <x:c r="O60" s="8" t="str"/>
      <x:c r="P60" s="15" t="str"/>
      <x:c r="Q60" s="8" t="str">
        <x:v>SUNY Geneseo</x:v>
      </x:c>
      <x:c r="R60" s="8" t="str">
        <x:v>High</x:v>
      </x:c>
      <x:c r="S60" s="15" t="str">
        <x:v>Official SUNY Geneseo profile lists David Levy and the same email address.</x:v>
      </x:c>
      <x:c r="T60" s="8" t="str"/>
      <x:c r="U60" s="8" t="str"/>
      <x:c r="V60" s="15" t="str"/>
      <x:c r="W60" s="8" t="str">
        <x:v>https://www.geneseo.edu/philosophy/levy</x:v>
      </x:c>
      <x:c r="X60" s="8" t="str">
        <x:v>Institution</x:v>
      </x:c>
      <x:c r="Y60" s="17" t="str">
        <x:v>Proposed change</x:v>
      </x:c>
      <x:c r="Z60" s="20" t="str"/>
      <x:c r="AA60" s="21" t="str"/>
    </x:row>
    <x:row r="61">
      <x:c r="A61" s="8" t="str">
        <x:v>SAGP000138</x:v>
      </x:c>
      <x:c r="B61" s="8" t="str">
        <x:v>David Murphy</x:v>
      </x:c>
      <x:c r="C61" s="8" t="str">
        <x:v>David</x:v>
      </x:c>
      <x:c r="D61" s="8" t="str">
        <x:v>Murphy</x:v>
      </x:c>
      <x:c r="E61" s="8" t="str">
        <x:v>david.murphy20@verizon.net</x:v>
      </x:c>
      <x:c r="F61" s="8" t="str">
        <x:v>verizon.net</x:v>
      </x:c>
      <x:c r="G61" s="8" t="str"/>
      <x:c r="H61" s="8" t="str"/>
      <x:c r="I61" s="8" t="str">
        <x:v>US</x:v>
      </x:c>
      <x:c r="J61" s="8" t="str">
        <x:v>NY</x:v>
      </x:c>
      <x:c r="K61" s="14" t="n">
        <x:v>2025</x:v>
      </x:c>
      <x:c r="L61" s="8" t="str">
        <x:v>David Murphy</x:v>
      </x:c>
      <x:c r="M61" s="8" t="str">
        <x:v>David</x:v>
      </x:c>
      <x:c r="N61" s="8" t="str">
        <x:v>Murphy</x:v>
      </x:c>
      <x:c r="O61" s="8" t="str"/>
      <x:c r="P61" s="15" t="str"/>
      <x:c r="Q61" s="8" t="str"/>
      <x:c r="R61" s="8" t="str"/>
      <x:c r="S61" s="15" t="str"/>
      <x:c r="T61" s="8" t="str">
        <x:v>USA Eastern</x:v>
      </x:c>
      <x:c r="U61" s="8" t="str">
        <x:v>High</x:v>
      </x:c>
      <x:c r="V61" s="15" t="str">
        <x:v>Existing country and state</x:v>
      </x:c>
      <x:c r="W61" s="8" t="str"/>
      <x:c r="X61" s="8" t="str">
        <x:v>Region</x:v>
      </x:c>
      <x:c r="Y61" s="17" t="str">
        <x:v>Proposed change</x:v>
      </x:c>
      <x:c r="Z61" s="20" t="str"/>
      <x:c r="AA61" s="21" t="str"/>
    </x:row>
    <x:row r="62">
      <x:c r="A62" s="8" t="str">
        <x:v>SAGP000672</x:v>
      </x:c>
      <x:c r="B62" s="8" t="str">
        <x:v>David O'Connor</x:v>
      </x:c>
      <x:c r="C62" s="8" t="str">
        <x:v>David</x:v>
      </x:c>
      <x:c r="D62" s="8" t="str">
        <x:v>O'Connor</x:v>
      </x:c>
      <x:c r="E62" s="8" t="str">
        <x:v>o'connor.2@nd.edu</x:v>
      </x:c>
      <x:c r="F62" s="8" t="str">
        <x:v>nd.edu</x:v>
      </x:c>
      <x:c r="G62" s="8" t="str"/>
      <x:c r="H62" s="8" t="str"/>
      <x:c r="I62" s="8" t="str"/>
      <x:c r="J62" s="8" t="str"/>
      <x:c r="K62" s="14" t="n">
        <x:v>2025</x:v>
      </x:c>
      <x:c r="L62" s="8" t="str">
        <x:v>David O'Connor</x:v>
      </x:c>
      <x:c r="M62" s="8" t="str">
        <x:v>David</x:v>
      </x:c>
      <x:c r="N62" s="8" t="str">
        <x:v>O'Connor</x:v>
      </x:c>
      <x:c r="O62" s="8" t="str"/>
      <x:c r="P62" s="15" t="str"/>
      <x:c r="Q62" s="8" t="str">
        <x:v>University of Notre Dame</x:v>
      </x:c>
      <x:c r="R62" s="8" t="str">
        <x:v>High</x:v>
      </x:c>
      <x:c r="S62" s="15" t="str">
        <x:v>Official Notre Dame profile lists David O'Connor as Professor of Philosophy.</x:v>
      </x:c>
      <x:c r="T62" s="8" t="str"/>
      <x:c r="U62" s="8" t="str"/>
      <x:c r="V62" s="15" t="str"/>
      <x:c r="W62" s="8" t="str">
        <x:v>https://philosophy.nd.edu/people/faculty/david-oconnor/</x:v>
      </x:c>
      <x:c r="X62" s="8" t="str">
        <x:v>Institution</x:v>
      </x:c>
      <x:c r="Y62" s="19" t="str">
        <x:v>Needs research</x:v>
      </x:c>
      <x:c r="Z62" s="20" t="str"/>
      <x:c r="AA62" s="21" t="str">
        <x:v>Official page uses doconnor@nd.edu; member record uses o'connor.2@nd.edu.</x:v>
      </x:c>
    </x:row>
    <x:row r="63">
      <x:c r="A63" s="8" t="str">
        <x:v>SAGP001822</x:v>
      </x:c>
      <x:c r="B63" s="8" t="str">
        <x:v>David Reed</x:v>
      </x:c>
      <x:c r="C63" s="8" t="str">
        <x:v>David</x:v>
      </x:c>
      <x:c r="D63" s="8" t="str">
        <x:v>Reed</x:v>
      </x:c>
      <x:c r="E63" s="8" t="str">
        <x:v>dlr7.2353@gmail.com</x:v>
      </x:c>
      <x:c r="F63" s="8" t="str">
        <x:v>gmail.com</x:v>
      </x:c>
      <x:c r="G63" s="8" t="str"/>
      <x:c r="H63" s="8" t="str"/>
      <x:c r="I63" s="8" t="str"/>
      <x:c r="J63" s="8" t="str"/>
      <x:c r="K63" s="14" t="n">
        <x:v>2031</x:v>
      </x:c>
      <x:c r="L63" s="8" t="str">
        <x:v>David Reed</x:v>
      </x:c>
      <x:c r="M63" s="8" t="str">
        <x:v>David</x:v>
      </x:c>
      <x:c r="N63" s="8" t="str">
        <x:v>Reed</x:v>
      </x:c>
      <x:c r="O63" s="8" t="str"/>
      <x:c r="P63" s="15" t="str"/>
      <x:c r="Q63" s="8" t="str"/>
      <x:c r="R63" s="8" t="str"/>
      <x:c r="S63" s="15" t="str"/>
      <x:c r="T63" s="8" t="str"/>
      <x:c r="U63" s="8" t="str"/>
      <x:c r="V63" s="15" t="str"/>
      <x:c r="W63" s="8" t="str"/>
      <x:c r="X63" s="8" t="str"/>
      <x:c r="Y63" s="19" t="str">
        <x:v>Needs research</x:v>
      </x:c>
      <x:c r="Z63" s="20" t="str"/>
      <x:c r="AA63" s="21" t="str"/>
    </x:row>
    <x:row r="64">
      <x:c r="A64" s="8" t="str">
        <x:v>SAGP000167</x:v>
      </x:c>
      <x:c r="B64" s="8" t="str">
        <x:v>David Sider</x:v>
      </x:c>
      <x:c r="C64" s="8" t="str">
        <x:v>David</x:v>
      </x:c>
      <x:c r="D64" s="8" t="str">
        <x:v>Sider</x:v>
      </x:c>
      <x:c r="E64" s="8" t="str">
        <x:v>david.sider@nyu.edu</x:v>
      </x:c>
      <x:c r="F64" s="8" t="str">
        <x:v>nyu.edu</x:v>
      </x:c>
      <x:c r="G64" s="8" t="str"/>
      <x:c r="H64" s="8" t="str"/>
      <x:c r="I64" s="8" t="str">
        <x:v>US</x:v>
      </x:c>
      <x:c r="J64" s="8" t="str">
        <x:v>NY</x:v>
      </x:c>
      <x:c r="K64" s="14" t="n">
        <x:v>2033</x:v>
      </x:c>
      <x:c r="L64" s="8" t="str">
        <x:v>David Sider</x:v>
      </x:c>
      <x:c r="M64" s="8" t="str">
        <x:v>David</x:v>
      </x:c>
      <x:c r="N64" s="8" t="str">
        <x:v>Sider</x:v>
      </x:c>
      <x:c r="O64" s="8" t="str"/>
      <x:c r="P64" s="15" t="str"/>
      <x:c r="Q64" s="8" t="str">
        <x:v>Rutgers University</x:v>
      </x:c>
      <x:c r="R64" s="8" t="str">
        <x:v>High</x:v>
      </x:c>
      <x:c r="S64" s="15" t="str">
        <x:v>The current official Rutgers Philosophy profile lists Ted Sider as Mellon Chair and Distinguished Professor and notes that he formerly taught at NYU.</x:v>
      </x:c>
      <x:c r="T64" s="8" t="str">
        <x:v>USA Eastern</x:v>
      </x:c>
      <x:c r="U64" s="8" t="str">
        <x:v>High</x:v>
      </x:c>
      <x:c r="V64" s="15" t="str">
        <x:v>Existing country and state</x:v>
      </x:c>
      <x:c r="W64" s="8" t="str">
        <x:v>https://www.philosophy.rutgers.edu/people/regular-faculty/regular-faculty-profile/182-regular-faculty-full-time/780-sider-ted</x:v>
      </x:c>
      <x:c r="X64" s="8" t="str">
        <x:v>Institution, Region</x:v>
      </x:c>
      <x:c r="Y64" s="17" t="str">
        <x:v>Proposed change</x:v>
      </x:c>
      <x:c r="Z64" s="20" t="str"/>
      <x:c r="AA64" s="21" t="str">
        <x:v>NYU is a former affiliation; current affiliation is Rutgers. The member record uses David Sider, while the profile uses Ted Sider.</x:v>
      </x:c>
    </x:row>
    <x:row r="65">
      <x:c r="A65" s="8" t="str">
        <x:v>SAGP000770</x:v>
      </x:c>
      <x:c r="B65" s="8" t="str">
        <x:v>David Talcott</x:v>
      </x:c>
      <x:c r="C65" s="8" t="str">
        <x:v>David</x:v>
      </x:c>
      <x:c r="D65" s="8" t="str">
        <x:v>Talcott</x:v>
      </x:c>
      <x:c r="E65" s="8" t="str">
        <x:v>datalcott@gmail.com</x:v>
      </x:c>
      <x:c r="F65" s="8" t="str">
        <x:v>gmail.com</x:v>
      </x:c>
      <x:c r="G65" s="8" t="str">
        <x:v>New St. Andrews College, Moscow, Idaho</x:v>
      </x:c>
      <x:c r="H65" s="8" t="str"/>
      <x:c r="I65" s="8" t="str">
        <x:v>US</x:v>
      </x:c>
      <x:c r="J65" s="8" t="str">
        <x:v>NY</x:v>
      </x:c>
      <x:c r="K65" s="14" t="n">
        <x:v>2025</x:v>
      </x:c>
      <x:c r="L65" s="8" t="str">
        <x:v>David Talcott</x:v>
      </x:c>
      <x:c r="M65" s="8" t="str">
        <x:v>David</x:v>
      </x:c>
      <x:c r="N65" s="8" t="str">
        <x:v>Talcott</x:v>
      </x:c>
      <x:c r="O65" s="8" t="str"/>
      <x:c r="P65" s="15" t="str"/>
      <x:c r="Q65" s="8" t="str">
        <x:v>New St. Andrews College, Moscow, Idaho</x:v>
      </x:c>
      <x:c r="R65" s="8" t="str">
        <x:v>Existing</x:v>
      </x:c>
      <x:c r="S65" s="15" t="str">
        <x:v>Existing database value</x:v>
      </x:c>
      <x:c r="T65" s="8" t="str">
        <x:v>USA Eastern</x:v>
      </x:c>
      <x:c r="U65" s="8" t="str">
        <x:v>High</x:v>
      </x:c>
      <x:c r="V65" s="15" t="str">
        <x:v>Existing country and state</x:v>
      </x:c>
      <x:c r="W65" s="8" t="str"/>
      <x:c r="X65" s="8" t="str">
        <x:v>Region</x:v>
      </x:c>
      <x:c r="Y65" s="17" t="str">
        <x:v>Proposed change</x:v>
      </x:c>
      <x:c r="Z65" s="20" t="str"/>
      <x:c r="AA65" s="21" t="str"/>
    </x:row>
    <x:row r="66">
      <x:c r="A66" s="8" t="str">
        <x:v>SAGP000715</x:v>
      </x:c>
      <x:c r="B66" s="8" t="str">
        <x:v>Dennis Beach</x:v>
      </x:c>
      <x:c r="C66" s="8" t="str">
        <x:v>Dennis</x:v>
      </x:c>
      <x:c r="D66" s="8" t="str">
        <x:v>Beach</x:v>
      </x:c>
      <x:c r="E66" s="8" t="str">
        <x:v>dbeach@csbsju.edu</x:v>
      </x:c>
      <x:c r="F66" s="8" t="str">
        <x:v>csbsju.edu</x:v>
      </x:c>
      <x:c r="G66" s="8" t="str"/>
      <x:c r="H66" s="8" t="str"/>
      <x:c r="I66" s="8" t="str"/>
      <x:c r="J66" s="8" t="str"/>
      <x:c r="K66" s="14" t="n">
        <x:v>2030</x:v>
      </x:c>
      <x:c r="L66" s="8" t="str">
        <x:v>Dennis Beach</x:v>
      </x:c>
      <x:c r="M66" s="8" t="str">
        <x:v>Dennis</x:v>
      </x:c>
      <x:c r="N66" s="8" t="str">
        <x:v>Beach</x:v>
      </x:c>
      <x:c r="O66" s="8" t="str"/>
      <x:c r="P66" s="15" t="str"/>
      <x:c r="Q66" s="8" t="str">
        <x:v>College of Saint Benedict and Saint John's University</x:v>
      </x:c>
      <x:c r="R66" s="8" t="str">
        <x:v>High</x:v>
      </x:c>
      <x:c r="S66" s="15" t="str">
        <x:v>Official CSB/SJU Philosophy faculty page lists Dennis Beach.</x:v>
      </x:c>
      <x:c r="T66" s="8" t="str"/>
      <x:c r="U66" s="8" t="str"/>
      <x:c r="V66" s="15" t="str"/>
      <x:c r="W66" s="8" t="str">
        <x:v>https://www.csbsju.edu/philosophy/faculty/</x:v>
      </x:c>
      <x:c r="X66" s="8" t="str">
        <x:v>Institution</x:v>
      </x:c>
      <x:c r="Y66" s="17" t="str">
        <x:v>Proposed change</x:v>
      </x:c>
      <x:c r="Z66" s="20" t="str"/>
      <x:c r="AA66" s="21" t="str"/>
    </x:row>
    <x:row r="67">
      <x:c r="A67" s="8" t="str">
        <x:v>SAGP001075</x:v>
      </x:c>
      <x:c r="B67" s="8" t="str">
        <x:v>Donald G. Marshall</x:v>
      </x:c>
      <x:c r="C67" s="8" t="str">
        <x:v>Donald G.</x:v>
      </x:c>
      <x:c r="D67" s="8" t="str">
        <x:v>Marshall</x:v>
      </x:c>
      <x:c r="E67" s="8" t="str">
        <x:v>profdon43@gmail.com</x:v>
      </x:c>
      <x:c r="F67" s="8" t="str">
        <x:v>gmail.com</x:v>
      </x:c>
      <x:c r="G67" s="8" t="str"/>
      <x:c r="H67" s="8" t="str"/>
      <x:c r="I67" s="8" t="str">
        <x:v>US</x:v>
      </x:c>
      <x:c r="J67" s="8" t="str">
        <x:v>CA</x:v>
      </x:c>
      <x:c r="K67" s="14" t="n">
        <x:v>2038</x:v>
      </x:c>
      <x:c r="L67" s="8" t="str">
        <x:v>Donald G. Marshall</x:v>
      </x:c>
      <x:c r="M67" s="8" t="str">
        <x:v>Donald G.</x:v>
      </x:c>
      <x:c r="N67" s="8" t="str">
        <x:v>Marshall</x:v>
      </x:c>
      <x:c r="O67" s="8" t="str"/>
      <x:c r="P67" s="15" t="str"/>
      <x:c r="Q67" s="8" t="str"/>
      <x:c r="R67" s="8" t="str"/>
      <x:c r="S67" s="15" t="str"/>
      <x:c r="T67" s="8" t="str">
        <x:v>USA Western</x:v>
      </x:c>
      <x:c r="U67" s="8" t="str">
        <x:v>High</x:v>
      </x:c>
      <x:c r="V67" s="15" t="str">
        <x:v>Existing country and state</x:v>
      </x:c>
      <x:c r="W67" s="8" t="str"/>
      <x:c r="X67" s="8" t="str">
        <x:v>Region</x:v>
      </x:c>
      <x:c r="Y67" s="17" t="str">
        <x:v>Proposed change</x:v>
      </x:c>
      <x:c r="Z67" s="20" t="str"/>
      <x:c r="AA67" s="21" t="str"/>
    </x:row>
    <x:row r="68">
      <x:c r="A68" s="8" t="str">
        <x:v>SAGP000927</x:v>
      </x:c>
      <x:c r="B68" s="8" t="str">
        <x:v>Donald Morrison</x:v>
      </x:c>
      <x:c r="C68" s="8" t="str">
        <x:v>Donald</x:v>
      </x:c>
      <x:c r="D68" s="8" t="str">
        <x:v>Morrison</x:v>
      </x:c>
      <x:c r="E68" s="8" t="str">
        <x:v>donaldm@rice.edu</x:v>
      </x:c>
      <x:c r="F68" s="8" t="str">
        <x:v>rice.edu</x:v>
      </x:c>
      <x:c r="G68" s="8" t="str"/>
      <x:c r="H68" s="8" t="str"/>
      <x:c r="I68" s="8" t="str">
        <x:v>US</x:v>
      </x:c>
      <x:c r="J68" s="8" t="str">
        <x:v>TX</x:v>
      </x:c>
      <x:c r="K68" s="14" t="n">
        <x:v>2026</x:v>
      </x:c>
      <x:c r="L68" s="8" t="str">
        <x:v>Donald Morrison</x:v>
      </x:c>
      <x:c r="M68" s="8" t="str">
        <x:v>Donald</x:v>
      </x:c>
      <x:c r="N68" s="8" t="str">
        <x:v>Morrison</x:v>
      </x:c>
      <x:c r="O68" s="8" t="str"/>
      <x:c r="P68" s="15" t="str"/>
      <x:c r="Q68" s="8" t="str">
        <x:v>Rice University</x:v>
      </x:c>
      <x:c r="R68" s="8" t="str">
        <x:v>High</x:v>
      </x:c>
      <x:c r="S68" s="15" t="str">
        <x:v>Official Rice profile lists Donald R. Morrison and the same email address; professor emeritus.</x:v>
      </x:c>
      <x:c r="T68" s="8" t="str">
        <x:v>USA Central</x:v>
      </x:c>
      <x:c r="U68" s="8" t="str">
        <x:v>High</x:v>
      </x:c>
      <x:c r="V68" s="15" t="str">
        <x:v>Existing country and state</x:v>
      </x:c>
      <x:c r="W68" s="8" t="str">
        <x:v>https://profiles.rice.edu/faculty/donald-r-morrison</x:v>
      </x:c>
      <x:c r="X68" s="8" t="str">
        <x:v>Institution, Region</x:v>
      </x:c>
      <x:c r="Y68" s="17" t="str">
        <x:v>Proposed change</x:v>
      </x:c>
      <x:c r="Z68" s="20" t="str"/>
      <x:c r="AA68" s="21" t="str"/>
    </x:row>
    <x:row r="69">
      <x:c r="A69" s="8" t="str">
        <x:v>SAGP000165</x:v>
      </x:c>
      <x:c r="B69" s="8" t="str">
        <x:v>Douglas Shepardson</x:v>
      </x:c>
      <x:c r="C69" s="8" t="str">
        <x:v>Douglas</x:v>
      </x:c>
      <x:c r="D69" s="8" t="str">
        <x:v>Shepardson</x:v>
      </x:c>
      <x:c r="E69" s="8" t="str">
        <x:v>douglasashepardson@gmail.com</x:v>
      </x:c>
      <x:c r="F69" s="8" t="str">
        <x:v>gmail.com</x:v>
      </x:c>
      <x:c r="G69" s="8" t="str"/>
      <x:c r="H69" s="8" t="str"/>
      <x:c r="I69" s="8" t="str">
        <x:v>US</x:v>
      </x:c>
      <x:c r="J69" s="8" t="str">
        <x:v>NY</x:v>
      </x:c>
      <x:c r="K69" s="14" t="n">
        <x:v>2025</x:v>
      </x:c>
      <x:c r="L69" s="8" t="str">
        <x:v>Douglas Shepardson</x:v>
      </x:c>
      <x:c r="M69" s="8" t="str">
        <x:v>Douglas</x:v>
      </x:c>
      <x:c r="N69" s="8" t="str">
        <x:v>Shepardson</x:v>
      </x:c>
      <x:c r="O69" s="8" t="str"/>
      <x:c r="P69" s="15" t="str"/>
      <x:c r="Q69" s="8" t="str"/>
      <x:c r="R69" s="8" t="str"/>
      <x:c r="S69" s="15" t="str"/>
      <x:c r="T69" s="8" t="str">
        <x:v>USA Eastern</x:v>
      </x:c>
      <x:c r="U69" s="8" t="str">
        <x:v>High</x:v>
      </x:c>
      <x:c r="V69" s="15" t="str">
        <x:v>Existing country and state</x:v>
      </x:c>
      <x:c r="W69" s="8" t="str"/>
      <x:c r="X69" s="8" t="str">
        <x:v>Region</x:v>
      </x:c>
      <x:c r="Y69" s="17" t="str">
        <x:v>Proposed change</x:v>
      </x:c>
      <x:c r="Z69" s="20" t="str"/>
      <x:c r="AA69" s="21" t="str"/>
    </x:row>
    <x:row r="70">
      <x:c r="A70" s="8" t="str">
        <x:v>SAGP000211</x:v>
      </x:c>
      <x:c r="B70" s="8" t="str">
        <x:v>Duque Mateo</x:v>
      </x:c>
      <x:c r="C70" s="8" t="str">
        <x:v>Duque</x:v>
      </x:c>
      <x:c r="D70" s="8" t="str">
        <x:v>Mateo</x:v>
      </x:c>
      <x:c r="E70" s="8" t="str">
        <x:v>mduque@binghamton.edu</x:v>
      </x:c>
      <x:c r="F70" s="8" t="str">
        <x:v>binghamton.edu</x:v>
      </x:c>
      <x:c r="G70" s="8" t="str"/>
      <x:c r="H70" s="8" t="str"/>
      <x:c r="I70" s="8" t="str">
        <x:v>US</x:v>
      </x:c>
      <x:c r="J70" s="8" t="str">
        <x:v>NY</x:v>
      </x:c>
      <x:c r="K70" s="14" t="n">
        <x:v>2025</x:v>
      </x:c>
      <x:c r="L70" s="8" t="str">
        <x:v>Mateo Duque</x:v>
      </x:c>
      <x:c r="M70" s="8" t="str">
        <x:v>Mateo</x:v>
      </x:c>
      <x:c r="N70" s="8" t="str">
        <x:v>Duque</x:v>
      </x:c>
      <x:c r="O70" s="8" t="str">
        <x:v>High</x:v>
      </x:c>
      <x:c r="P70" s="15" t="str">
        <x:v>Email address pattern strongly supports given-name/surname reversal</x:v>
      </x:c>
      <x:c r="Q70" s="8" t="str">
        <x:v>Binghamton University</x:v>
      </x:c>
      <x:c r="R70" s="8" t="str">
        <x:v>High</x:v>
      </x:c>
      <x:c r="S70" s="15" t="str">
        <x:v>Official Binghamton profile lists Mateo Duque and the same email address.</x:v>
      </x:c>
      <x:c r="T70" s="8" t="str">
        <x:v>USA Eastern</x:v>
      </x:c>
      <x:c r="U70" s="8" t="str">
        <x:v>High</x:v>
      </x:c>
      <x:c r="V70" s="15" t="str">
        <x:v>Existing country and state</x:v>
      </x:c>
      <x:c r="W70" s="8" t="str">
        <x:v>https://www.binghamton.edu/middle-eastern-and-ancient-mediterranean/faculty/profile.html?id=mduque</x:v>
      </x:c>
      <x:c r="X70" s="8" t="str">
        <x:v>Name, Institution, Region</x:v>
      </x:c>
      <x:c r="Y70" s="17" t="str">
        <x:v>Proposed change</x:v>
      </x:c>
      <x:c r="Z70" s="20" t="str"/>
      <x:c r="AA70" s="21" t="str"/>
    </x:row>
    <x:row r="71">
      <x:c r="A71" s="8" t="str">
        <x:v>SAGP000624</x:v>
      </x:c>
      <x:c r="B71" s="8" t="str">
        <x:v>Dylan Futter</x:v>
      </x:c>
      <x:c r="C71" s="8" t="str">
        <x:v>Dylan</x:v>
      </x:c>
      <x:c r="D71" s="8" t="str">
        <x:v>Futter</x:v>
      </x:c>
      <x:c r="E71" s="8" t="str">
        <x:v>dylan.futter@wits.ac.za</x:v>
      </x:c>
      <x:c r="F71" s="8" t="str">
        <x:v>wits.ac.za</x:v>
      </x:c>
      <x:c r="G71" s="8" t="str"/>
      <x:c r="H71" s="8" t="str"/>
      <x:c r="I71" s="8" t="str">
        <x:v>ZA</x:v>
      </x:c>
      <x:c r="J71" s="8" t="str"/>
      <x:c r="K71" s="14" t="n">
        <x:v>2029</x:v>
      </x:c>
      <x:c r="L71" s="8" t="str">
        <x:v>Dylan Futter</x:v>
      </x:c>
      <x:c r="M71" s="8" t="str">
        <x:v>Dylan</x:v>
      </x:c>
      <x:c r="N71" s="8" t="str">
        <x:v>Futter</x:v>
      </x:c>
      <x:c r="O71" s="8" t="str"/>
      <x:c r="P71" s="15" t="str"/>
      <x:c r="Q71" s="8" t="str">
        <x:v>University of the Witwatersrand</x:v>
      </x:c>
      <x:c r="R71" s="8" t="str">
        <x:v>High</x:v>
      </x:c>
      <x:c r="S71" s="15" t="str">
        <x:v>Official Wits Philosophy staff page lists Dylan Futter; current department head contact uses the same email.</x:v>
      </x:c>
      <x:c r="T71" s="8" t="str">
        <x:v>Sub-Saharan Africa</x:v>
      </x:c>
      <x:c r="U71" s="8" t="str">
        <x:v>High</x:v>
      </x:c>
      <x:c r="V71" s="15" t="str">
        <x:v>Existing country</x:v>
      </x:c>
      <x:c r="W71" s="8" t="str">
        <x:v>https://www.wits.ac.za/socialsciences/philosophy/staff/</x:v>
      </x:c>
      <x:c r="X71" s="8" t="str">
        <x:v>Institution, Region</x:v>
      </x:c>
      <x:c r="Y71" s="17" t="str">
        <x:v>Proposed change</x:v>
      </x:c>
      <x:c r="Z71" s="20" t="str"/>
      <x:c r="AA71" s="21" t="str"/>
    </x:row>
    <x:row r="72">
      <x:c r="A72" s="8" t="str">
        <x:v>SAGP000824</x:v>
      </x:c>
      <x:c r="B72" s="8" t="str">
        <x:v>E. M. Macierowski</x:v>
      </x:c>
      <x:c r="C72" s="8" t="str">
        <x:v>E. M.</x:v>
      </x:c>
      <x:c r="D72" s="8" t="str">
        <x:v>Macierowski</x:v>
      </x:c>
      <x:c r="E72" s="8" t="str">
        <x:v>edwardm@benedictine.edu</x:v>
      </x:c>
      <x:c r="F72" s="8" t="str">
        <x:v>benedictine.edu</x:v>
      </x:c>
      <x:c r="G72" s="8" t="str"/>
      <x:c r="H72" s="8" t="str"/>
      <x:c r="I72" s="8" t="str"/>
      <x:c r="J72" s="8" t="str"/>
      <x:c r="K72" s="14" t="n">
        <x:v>2025</x:v>
      </x:c>
      <x:c r="L72" s="8" t="str">
        <x:v>E. M. Macierowski</x:v>
      </x:c>
      <x:c r="M72" s="8" t="str">
        <x:v>E. M.</x:v>
      </x:c>
      <x:c r="N72" s="8" t="str">
        <x:v>Macierowski</x:v>
      </x:c>
      <x:c r="O72" s="8" t="str"/>
      <x:c r="P72" s="15" t="str"/>
      <x:c r="Q72" s="8" t="str">
        <x:v>Benedictine University</x:v>
      </x:c>
      <x:c r="R72" s="8" t="str">
        <x:v>High</x:v>
      </x:c>
      <x:c r="S72" s="15" t="str">
        <x:v>Official Benedictine College profile lists Edward Macierowski as Professor of Philosophy.</x:v>
      </x:c>
      <x:c r="T72" s="8" t="str"/>
      <x:c r="U72" s="8" t="str"/>
      <x:c r="V72" s="15" t="str"/>
      <x:c r="W72" s="8" t="str">
        <x:v>https://www.benedictine.edu/person/macierowski-edward</x:v>
      </x:c>
      <x:c r="X72" s="8" t="str">
        <x:v>Institution</x:v>
      </x:c>
      <x:c r="Y72" s="17" t="str">
        <x:v>Proposed change</x:v>
      </x:c>
      <x:c r="Z72" s="20" t="str"/>
      <x:c r="AA72" s="21" t="str"/>
    </x:row>
    <x:row r="73">
      <x:c r="A73" s="8" t="str">
        <x:v>SAGP000534</x:v>
      </x:c>
      <x:c r="B73" s="8" t="str">
        <x:v>Elizabeth Jelinek</x:v>
      </x:c>
      <x:c r="C73" s="8" t="str">
        <x:v>Elizabeth</x:v>
      </x:c>
      <x:c r="D73" s="8" t="str">
        <x:v>Jelinek</x:v>
      </x:c>
      <x:c r="E73" s="8" t="str">
        <x:v>elizabeth.jelinek@cnu.edu</x:v>
      </x:c>
      <x:c r="F73" s="8" t="str">
        <x:v>cnu.edu</x:v>
      </x:c>
      <x:c r="G73" s="8" t="str">
        <x:v>Christopher Newport University</x:v>
      </x:c>
      <x:c r="H73" s="8" t="str"/>
      <x:c r="I73" s="8" t="str">
        <x:v>US</x:v>
      </x:c>
      <x:c r="J73" s="8" t="str">
        <x:v>NJ</x:v>
      </x:c>
      <x:c r="K73" s="14" t="n">
        <x:v>2041</x:v>
      </x:c>
      <x:c r="L73" s="8" t="str">
        <x:v>Elizabeth Jelinek</x:v>
      </x:c>
      <x:c r="M73" s="8" t="str">
        <x:v>Elizabeth</x:v>
      </x:c>
      <x:c r="N73" s="8" t="str">
        <x:v>Jelinek</x:v>
      </x:c>
      <x:c r="O73" s="8" t="str"/>
      <x:c r="P73" s="15" t="str"/>
      <x:c r="Q73" s="8" t="str">
        <x:v>Christopher Newport University</x:v>
      </x:c>
      <x:c r="R73" s="8" t="str">
        <x:v>Existing</x:v>
      </x:c>
      <x:c r="S73" s="15" t="str">
        <x:v>Existing database value</x:v>
      </x:c>
      <x:c r="T73" s="8" t="str">
        <x:v>USA Eastern</x:v>
      </x:c>
      <x:c r="U73" s="8" t="str">
        <x:v>High</x:v>
      </x:c>
      <x:c r="V73" s="15" t="str">
        <x:v>Existing country and state</x:v>
      </x:c>
      <x:c r="W73" s="8" t="str"/>
      <x:c r="X73" s="8" t="str">
        <x:v>Region</x:v>
      </x:c>
      <x:c r="Y73" s="17" t="str">
        <x:v>Proposed change</x:v>
      </x:c>
      <x:c r="Z73" s="20" t="str"/>
      <x:c r="AA73" s="21" t="str"/>
    </x:row>
    <x:row r="74">
      <x:c r="A74" s="8" t="str">
        <x:v>SAGP000708</x:v>
      </x:c>
      <x:c r="B74" s="8" t="str">
        <x:v>Erik Wielenberg</x:v>
      </x:c>
      <x:c r="C74" s="8" t="str">
        <x:v>Erik</x:v>
      </x:c>
      <x:c r="D74" s="8" t="str">
        <x:v>Wielenberg</x:v>
      </x:c>
      <x:c r="E74" s="8" t="str">
        <x:v>ewielenberg@depauw.edu</x:v>
      </x:c>
      <x:c r="F74" s="8" t="str">
        <x:v>depauw.edu</x:v>
      </x:c>
      <x:c r="G74" s="8" t="str"/>
      <x:c r="H74" s="8" t="str"/>
      <x:c r="I74" s="8" t="str"/>
      <x:c r="J74" s="8" t="str"/>
      <x:c r="K74" s="14" t="n">
        <x:v>2025</x:v>
      </x:c>
      <x:c r="L74" s="8" t="str">
        <x:v>Erik Wielenberg</x:v>
      </x:c>
      <x:c r="M74" s="8" t="str">
        <x:v>Erik</x:v>
      </x:c>
      <x:c r="N74" s="8" t="str">
        <x:v>Wielenberg</x:v>
      </x:c>
      <x:c r="O74" s="8" t="str"/>
      <x:c r="P74" s="15" t="str"/>
      <x:c r="Q74" s="8" t="str">
        <x:v>DePauw University</x:v>
      </x:c>
      <x:c r="R74" s="8" t="str">
        <x:v>High</x:v>
      </x:c>
      <x:c r="S74" s="15" t="str">
        <x:v>Official DePauw faculty-publications page lists recent 2026 work by Erik Wielenberg.</x:v>
      </x:c>
      <x:c r="T74" s="8" t="str"/>
      <x:c r="U74" s="8" t="str"/>
      <x:c r="V74" s="15" t="str"/>
      <x:c r="W74" s="8" t="str">
        <x:v>https://scholarship.depauw.edu/phil_facpubs/</x:v>
      </x:c>
      <x:c r="X74" s="8" t="str">
        <x:v>Institution</x:v>
      </x:c>
      <x:c r="Y74" s="17" t="str">
        <x:v>Proposed change</x:v>
      </x:c>
      <x:c r="Z74" s="20" t="str"/>
      <x:c r="AA74" s="21" t="str"/>
    </x:row>
    <x:row r="75">
      <x:c r="A75" s="8" t="str">
        <x:v>SAGP000944</x:v>
      </x:c>
      <x:c r="B75" s="8" t="str">
        <x:v>Erin Stackle</x:v>
      </x:c>
      <x:c r="C75" s="8" t="str">
        <x:v>Erin</x:v>
      </x:c>
      <x:c r="D75" s="8" t="str">
        <x:v>Stackle</x:v>
      </x:c>
      <x:c r="E75" s="8" t="str">
        <x:v>estackle@lmu.edu</x:v>
      </x:c>
      <x:c r="F75" s="8" t="str">
        <x:v>lmu.edu</x:v>
      </x:c>
      <x:c r="G75" s="8" t="str"/>
      <x:c r="H75" s="8" t="str"/>
      <x:c r="I75" s="8" t="str"/>
      <x:c r="J75" s="8" t="str"/>
      <x:c r="K75" s="14" t="n">
        <x:v>2025</x:v>
      </x:c>
      <x:c r="L75" s="8" t="str">
        <x:v>Erin Stackle</x:v>
      </x:c>
      <x:c r="M75" s="8" t="str">
        <x:v>Erin</x:v>
      </x:c>
      <x:c r="N75" s="8" t="str">
        <x:v>Stackle</x:v>
      </x:c>
      <x:c r="O75" s="8" t="str"/>
      <x:c r="P75" s="15" t="str"/>
      <x:c r="Q75" s="8" t="str">
        <x:v>Loyola Marymount University</x:v>
      </x:c>
      <x:c r="R75" s="8" t="str">
        <x:v>High</x:v>
      </x:c>
      <x:c r="S75" s="15" t="str">
        <x:v>Official LMU research profile lists Erin Stackle as Associate Professor of Philosophy.</x:v>
      </x:c>
      <x:c r="T75" s="8" t="str"/>
      <x:c r="U75" s="8" t="str"/>
      <x:c r="V75" s="15" t="str"/>
      <x:c r="W75" s="8" t="str">
        <x:v>https://scholars.lmu.edu/en/persons/erin-stackle/</x:v>
      </x:c>
      <x:c r="X75" s="8" t="str">
        <x:v>Institution</x:v>
      </x:c>
      <x:c r="Y75" s="17" t="str">
        <x:v>Proposed change</x:v>
      </x:c>
      <x:c r="Z75" s="20" t="str"/>
      <x:c r="AA75" s="21" t="str"/>
    </x:row>
    <x:row r="76">
      <x:c r="A76" s="8" t="str">
        <x:v>SAGP001401</x:v>
      </x:c>
      <x:c r="B76" s="8" t="str">
        <x:v>Erlend Breidal</x:v>
      </x:c>
      <x:c r="C76" s="8" t="str">
        <x:v>Erlend</x:v>
      </x:c>
      <x:c r="D76" s="8" t="str">
        <x:v>Breidal</x:v>
      </x:c>
      <x:c r="E76" s="8" t="str">
        <x:v>erlend.breidal@gmail.com</x:v>
      </x:c>
      <x:c r="F76" s="8" t="str">
        <x:v>gmail.com</x:v>
      </x:c>
      <x:c r="G76" s="8" t="str"/>
      <x:c r="H76" s="8" t="str"/>
      <x:c r="I76" s="8" t="str"/>
      <x:c r="J76" s="8" t="str"/>
      <x:c r="K76" s="14" t="n">
        <x:v>2025</x:v>
      </x:c>
      <x:c r="L76" s="8" t="str">
        <x:v>Erlend Breidal</x:v>
      </x:c>
      <x:c r="M76" s="8" t="str">
        <x:v>Erlend</x:v>
      </x:c>
      <x:c r="N76" s="8" t="str">
        <x:v>Breidal</x:v>
      </x:c>
      <x:c r="O76" s="8" t="str"/>
      <x:c r="P76" s="15" t="str"/>
      <x:c r="Q76" s="8" t="str"/>
      <x:c r="R76" s="8" t="str"/>
      <x:c r="S76" s="15" t="str"/>
      <x:c r="T76" s="8" t="str"/>
      <x:c r="U76" s="8" t="str"/>
      <x:c r="V76" s="15" t="str"/>
      <x:c r="W76" s="8" t="str"/>
      <x:c r="X76" s="8" t="str"/>
      <x:c r="Y76" s="19" t="str">
        <x:v>Needs research</x:v>
      </x:c>
      <x:c r="Z76" s="20" t="str"/>
      <x:c r="AA76" s="21" t="str"/>
    </x:row>
    <x:row r="77">
      <x:c r="A77" s="8" t="str">
        <x:v>SAGP001243</x:v>
      </x:c>
      <x:c r="B77" s="8" t="str">
        <x:v>Esmaeili Javad Mohammad</x:v>
      </x:c>
      <x:c r="C77" s="8" t="str">
        <x:v>Esmaeili</x:v>
      </x:c>
      <x:c r="D77" s="8" t="str">
        <x:v>Mohammad</x:v>
      </x:c>
      <x:c r="E77" s="8" t="str">
        <x:v>esmaeili.mj@gmail.com</x:v>
      </x:c>
      <x:c r="F77" s="8" t="str">
        <x:v>gmail.com</x:v>
      </x:c>
      <x:c r="G77" s="8" t="str"/>
      <x:c r="H77" s="8" t="str"/>
      <x:c r="I77" s="8" t="str"/>
      <x:c r="J77" s="8" t="str"/>
      <x:c r="K77" s="14" t="n">
        <x:v>2025</x:v>
      </x:c>
      <x:c r="L77" s="8" t="str">
        <x:v>Esmaeili Javad Mohammad</x:v>
      </x:c>
      <x:c r="M77" s="8" t="str">
        <x:v>Esmaeili</x:v>
      </x:c>
      <x:c r="N77" s="8" t="str">
        <x:v>Mohammad</x:v>
      </x:c>
      <x:c r="O77" s="8" t="str"/>
      <x:c r="P77" s="15" t="str"/>
      <x:c r="Q77" s="8" t="str"/>
      <x:c r="R77" s="8" t="str"/>
      <x:c r="S77" s="15" t="str"/>
      <x:c r="T77" s="8" t="str"/>
      <x:c r="U77" s="8" t="str"/>
      <x:c r="V77" s="15" t="str"/>
      <x:c r="W77" s="8" t="str"/>
      <x:c r="X77" s="8" t="str"/>
      <x:c r="Y77" s="19" t="str">
        <x:v>Needs research</x:v>
      </x:c>
      <x:c r="Z77" s="20" t="str"/>
      <x:c r="AA77" s="21" t="str"/>
    </x:row>
    <x:row r="78">
      <x:c r="A78" s="8" t="str">
        <x:v>SAGP000980</x:v>
      </x:c>
      <x:c r="B78" s="8" t="str">
        <x:v>Evan Rodriguez</x:v>
      </x:c>
      <x:c r="C78" s="8" t="str">
        <x:v>Evan</x:v>
      </x:c>
      <x:c r="D78" s="8" t="str">
        <x:v>Rodriguez</x:v>
      </x:c>
      <x:c r="E78" s="8" t="str">
        <x:v>evan.g.rodriguez@gmail.com</x:v>
      </x:c>
      <x:c r="F78" s="8" t="str">
        <x:v>gmail.com</x:v>
      </x:c>
      <x:c r="G78" s="8" t="str"/>
      <x:c r="H78" s="8" t="str"/>
      <x:c r="I78" s="8" t="str"/>
      <x:c r="J78" s="8" t="str">
        <x:v>ID</x:v>
      </x:c>
      <x:c r="K78" s="14" t="n">
        <x:v>2030</x:v>
      </x:c>
      <x:c r="L78" s="8" t="str">
        <x:v>Evan Rodriguez</x:v>
      </x:c>
      <x:c r="M78" s="8" t="str">
        <x:v>Evan</x:v>
      </x:c>
      <x:c r="N78" s="8" t="str">
        <x:v>Rodriguez</x:v>
      </x:c>
      <x:c r="O78" s="8" t="str"/>
      <x:c r="P78" s="15" t="str"/>
      <x:c r="Q78" s="8" t="str"/>
      <x:c r="R78" s="8" t="str"/>
      <x:c r="S78" s="15" t="str"/>
      <x:c r="T78" s="8" t="str"/>
      <x:c r="U78" s="8" t="str"/>
      <x:c r="V78" s="15" t="str"/>
      <x:c r="W78" s="8" t="str"/>
      <x:c r="X78" s="8" t="str"/>
      <x:c r="Y78" s="19" t="str">
        <x:v>Needs research</x:v>
      </x:c>
      <x:c r="Z78" s="20" t="str"/>
      <x:c r="AA78" s="21" t="str"/>
    </x:row>
    <x:row r="79">
      <x:c r="A79" s="8" t="str">
        <x:v>SAGP001701</x:v>
      </x:c>
      <x:c r="B79" s="8" t="str">
        <x:v>Eve Rabinoff</x:v>
      </x:c>
      <x:c r="C79" s="8" t="str">
        <x:v>Eve</x:v>
      </x:c>
      <x:c r="D79" s="8" t="str">
        <x:v>Rabinoff</x:v>
      </x:c>
      <x:c r="E79" s="8" t="str"/>
      <x:c r="F79" s="8" t="str"/>
      <x:c r="G79" s="8" t="str"/>
      <x:c r="H79" s="8" t="str"/>
      <x:c r="I79" s="8" t="str">
        <x:v>US</x:v>
      </x:c>
      <x:c r="J79" s="8" t="str"/>
      <x:c r="K79" s="14" t="n">
        <x:v>2026</x:v>
      </x:c>
      <x:c r="L79" s="8" t="str">
        <x:v>Eve Rabinoff</x:v>
      </x:c>
      <x:c r="M79" s="8" t="str">
        <x:v>Eve</x:v>
      </x:c>
      <x:c r="N79" s="8" t="str">
        <x:v>Rabinoff</x:v>
      </x:c>
      <x:c r="O79" s="8" t="str"/>
      <x:c r="P79" s="15" t="str"/>
      <x:c r="Q79" s="8" t="str"/>
      <x:c r="R79" s="8" t="str"/>
      <x:c r="S79" s="15" t="str"/>
      <x:c r="T79" s="8" t="str"/>
      <x:c r="U79" s="8" t="str"/>
      <x:c r="V79" s="15" t="str"/>
      <x:c r="W79" s="8" t="str"/>
      <x:c r="X79" s="8" t="str"/>
      <x:c r="Y79" s="19" t="str">
        <x:v>Needs research</x:v>
      </x:c>
      <x:c r="Z79" s="20" t="str"/>
      <x:c r="AA79" s="21" t="str"/>
    </x:row>
    <x:row r="80">
      <x:c r="A80" s="8" t="str">
        <x:v>SAGP000946</x:v>
      </x:c>
      <x:c r="B80" s="8" t="str">
        <x:v>Fabian VanOnzen</x:v>
      </x:c>
      <x:c r="C80" s="8" t="str">
        <x:v>Fabian</x:v>
      </x:c>
      <x:c r="D80" s="8" t="str">
        <x:v>VanOnzen</x:v>
      </x:c>
      <x:c r="E80" s="8" t="str">
        <x:v>fjvanonzen@gmail.com</x:v>
      </x:c>
      <x:c r="F80" s="8" t="str">
        <x:v>gmail.com</x:v>
      </x:c>
      <x:c r="G80" s="8" t="str"/>
      <x:c r="H80" s="8" t="str"/>
      <x:c r="I80" s="8" t="str">
        <x:v>US</x:v>
      </x:c>
      <x:c r="J80" s="8" t="str"/>
      <x:c r="K80" s="14" t="n">
        <x:v>2025</x:v>
      </x:c>
      <x:c r="L80" s="8" t="str">
        <x:v>Fabian VanOnzen</x:v>
      </x:c>
      <x:c r="M80" s="8" t="str">
        <x:v>Fabian</x:v>
      </x:c>
      <x:c r="N80" s="8" t="str">
        <x:v>VanOnzen</x:v>
      </x:c>
      <x:c r="O80" s="8" t="str"/>
      <x:c r="P80" s="15" t="str"/>
      <x:c r="Q80" s="8" t="str"/>
      <x:c r="R80" s="8" t="str"/>
      <x:c r="S80" s="15" t="str"/>
      <x:c r="T80" s="8" t="str"/>
      <x:c r="U80" s="8" t="str"/>
      <x:c r="V80" s="15" t="str"/>
      <x:c r="W80" s="8" t="str"/>
      <x:c r="X80" s="8" t="str"/>
      <x:c r="Y80" s="19" t="str">
        <x:v>Needs research</x:v>
      </x:c>
      <x:c r="Z80" s="20" t="str"/>
      <x:c r="AA80" s="21" t="str"/>
    </x:row>
    <x:row r="81">
      <x:c r="A81" s="8" t="str">
        <x:v>SAGP000902</x:v>
      </x:c>
      <x:c r="B81" s="8" t="str">
        <x:v>Frank Grabowski</x:v>
      </x:c>
      <x:c r="C81" s="8" t="str">
        <x:v>Frank</x:v>
      </x:c>
      <x:c r="D81" s="8" t="str">
        <x:v>Grabowski</x:v>
      </x:c>
      <x:c r="E81" s="8" t="str">
        <x:v>fgrabowski@rsu.edu</x:v>
      </x:c>
      <x:c r="F81" s="8" t="str">
        <x:v>rsu.edu</x:v>
      </x:c>
      <x:c r="G81" s="8" t="str"/>
      <x:c r="H81" s="8" t="str"/>
      <x:c r="I81" s="8" t="str"/>
      <x:c r="J81" s="8" t="str">
        <x:v>OK</x:v>
      </x:c>
      <x:c r="K81" s="14" t="n">
        <x:v>2025</x:v>
      </x:c>
      <x:c r="L81" s="8" t="str">
        <x:v>Frank Grabowski</x:v>
      </x:c>
      <x:c r="M81" s="8" t="str">
        <x:v>Frank</x:v>
      </x:c>
      <x:c r="N81" s="8" t="str">
        <x:v>Grabowski</x:v>
      </x:c>
      <x:c r="O81" s="8" t="str"/>
      <x:c r="P81" s="15" t="str"/>
      <x:c r="Q81" s="8" t="str">
        <x:v>Rogers State University</x:v>
      </x:c>
      <x:c r="R81" s="8" t="str">
        <x:v>High</x:v>
      </x:c>
      <x:c r="S81" s="15" t="str">
        <x:v>A recent official Rogers State University conference program lists Frank Grabowski on the conference steering committee; the member email matches the university domain.</x:v>
      </x:c>
      <x:c r="T81" s="8" t="str"/>
      <x:c r="U81" s="8" t="str"/>
      <x:c r="V81" s="15" t="str"/>
      <x:c r="W81" s="8" t="str">
        <x:v>https://www.rsu.edu/wp-content/uploads/2025/04/RMERA-Conference-Program-FINAL.pdf</x:v>
      </x:c>
      <x:c r="X81" s="8" t="str">
        <x:v>Institution</x:v>
      </x:c>
      <x:c r="Y81" s="17" t="str">
        <x:v>Proposed change</x:v>
      </x:c>
      <x:c r="Z81" s="20" t="str"/>
      <x:c r="AA81" s="21" t="str">
        <x:v>Confirmed continuing Rogers State University affiliation.</x:v>
      </x:c>
    </x:row>
    <x:row r="82">
      <x:c r="A82" s="8" t="str">
        <x:v>SAGP000890</x:v>
      </x:c>
      <x:c r="B82" s="8" t="str">
        <x:v>Frederick Culverhouse</x:v>
      </x:c>
      <x:c r="C82" s="8" t="str">
        <x:v>Frederick</x:v>
      </x:c>
      <x:c r="D82" s="8" t="str">
        <x:v>Culverhouse</x:v>
      </x:c>
      <x:c r="E82" s="8" t="str">
        <x:v>fculverh@uiwtx.edu</x:v>
      </x:c>
      <x:c r="F82" s="8" t="str">
        <x:v>uiwtx.edu</x:v>
      </x:c>
      <x:c r="G82" s="8" t="str"/>
      <x:c r="H82" s="8" t="str"/>
      <x:c r="I82" s="8" t="str">
        <x:v>US</x:v>
      </x:c>
      <x:c r="J82" s="8" t="str">
        <x:v>TX</x:v>
      </x:c>
      <x:c r="K82" s="14" t="n">
        <x:v>2029</x:v>
      </x:c>
      <x:c r="L82" s="8" t="str">
        <x:v>Frederick Culverhouse</x:v>
      </x:c>
      <x:c r="M82" s="8" t="str">
        <x:v>Frederick</x:v>
      </x:c>
      <x:c r="N82" s="8" t="str">
        <x:v>Culverhouse</x:v>
      </x:c>
      <x:c r="O82" s="8" t="str"/>
      <x:c r="P82" s="15" t="str"/>
      <x:c r="Q82" s="8" t="str">
        <x:v>University of the Incarnate Word</x:v>
      </x:c>
      <x:c r="R82" s="8" t="str">
        <x:v>High</x:v>
      </x:c>
      <x:c r="S82" s="15" t="str">
        <x:v>Official UIW profile lists Frederick Z. Culverhouse and the same email address.</x:v>
      </x:c>
      <x:c r="T82" s="8" t="str">
        <x:v>USA Central</x:v>
      </x:c>
      <x:c r="U82" s="8" t="str">
        <x:v>High</x:v>
      </x:c>
      <x:c r="V82" s="15" t="str">
        <x:v>Existing country and state</x:v>
      </x:c>
      <x:c r="W82" s="8" t="str">
        <x:v>https://www.uiw.edu/chass/directory/faculty-and-staff/culverhouse-frederick.html</x:v>
      </x:c>
      <x:c r="X82" s="8" t="str">
        <x:v>Institution, Region</x:v>
      </x:c>
      <x:c r="Y82" s="17" t="str">
        <x:v>Proposed change</x:v>
      </x:c>
      <x:c r="Z82" s="20" t="str"/>
      <x:c r="AA82" s="21" t="str"/>
    </x:row>
    <x:row r="83">
      <x:c r="A83" s="8" t="str">
        <x:v>SAGP001543</x:v>
      </x:c>
      <x:c r="B83" s="8" t="str">
        <x:v>Gaelle Jeanmart</x:v>
      </x:c>
      <x:c r="C83" s="8" t="str">
        <x:v>Gaelle</x:v>
      </x:c>
      <x:c r="D83" s="8" t="str">
        <x:v>Jeanmart</x:v>
      </x:c>
      <x:c r="E83" s="8" t="str">
        <x:v>gaelle.jeanmart@philocite.eu</x:v>
      </x:c>
      <x:c r="F83" s="8" t="str">
        <x:v>philocite.eu</x:v>
      </x:c>
      <x:c r="G83" s="8" t="str"/>
      <x:c r="H83" s="8" t="str"/>
      <x:c r="I83" s="8" t="str"/>
      <x:c r="J83" s="8" t="str"/>
      <x:c r="K83" s="14" t="n">
        <x:v>2028</x:v>
      </x:c>
      <x:c r="L83" s="8" t="str">
        <x:v>Gaelle Jeanmart</x:v>
      </x:c>
      <x:c r="M83" s="8" t="str">
        <x:v>Gaelle</x:v>
      </x:c>
      <x:c r="N83" s="8" t="str">
        <x:v>Jeanmart</x:v>
      </x:c>
      <x:c r="O83" s="8" t="str"/>
      <x:c r="P83" s="15" t="str"/>
      <x:c r="Q83" s="8" t="str"/>
      <x:c r="R83" s="8" t="str"/>
      <x:c r="S83" s="15" t="str"/>
      <x:c r="T83" s="8" t="str"/>
      <x:c r="U83" s="8" t="str"/>
      <x:c r="V83" s="15" t="str"/>
      <x:c r="W83" s="8" t="str"/>
      <x:c r="X83" s="8" t="str"/>
      <x:c r="Y83" s="19" t="str">
        <x:v>Needs research</x:v>
      </x:c>
      <x:c r="Z83" s="20" t="str"/>
      <x:c r="AA83" s="21" t="str"/>
    </x:row>
    <x:row r="84">
      <x:c r="A84" s="8" t="str">
        <x:v>SAGP000733</x:v>
      </x:c>
      <x:c r="B84" s="8" t="str">
        <x:v>Gary Gabor</x:v>
      </x:c>
      <x:c r="C84" s="8" t="str">
        <x:v>Gary</x:v>
      </x:c>
      <x:c r="D84" s="8" t="str">
        <x:v>Gabor</x:v>
      </x:c>
      <x:c r="E84" s="8" t="str">
        <x:v>garygabor2002@yahoo.com</x:v>
      </x:c>
      <x:c r="F84" s="8" t="str">
        <x:v>yahoo.com</x:v>
      </x:c>
      <x:c r="G84" s="8" t="str"/>
      <x:c r="H84" s="8" t="str"/>
      <x:c r="I84" s="8" t="str"/>
      <x:c r="J84" s="8" t="str"/>
      <x:c r="K84" s="14" t="n">
        <x:v>2025</x:v>
      </x:c>
      <x:c r="L84" s="8" t="str">
        <x:v>Gary Gabor</x:v>
      </x:c>
      <x:c r="M84" s="8" t="str">
        <x:v>Gary</x:v>
      </x:c>
      <x:c r="N84" s="8" t="str">
        <x:v>Gabor</x:v>
      </x:c>
      <x:c r="O84" s="8" t="str"/>
      <x:c r="P84" s="15" t="str"/>
      <x:c r="Q84" s="8" t="str"/>
      <x:c r="R84" s="8" t="str"/>
      <x:c r="S84" s="15" t="str"/>
      <x:c r="T84" s="8" t="str"/>
      <x:c r="U84" s="8" t="str"/>
      <x:c r="V84" s="15" t="str"/>
      <x:c r="W84" s="8" t="str"/>
      <x:c r="X84" s="8" t="str"/>
      <x:c r="Y84" s="19" t="str">
        <x:v>Needs research</x:v>
      </x:c>
      <x:c r="Z84" s="20" t="str"/>
      <x:c r="AA84" s="21" t="str"/>
    </x:row>
    <x:row r="85">
      <x:c r="A85" s="8" t="str">
        <x:v>SAGP000857</x:v>
      </x:c>
      <x:c r="B85" s="8" t="str">
        <x:v>Gary Tubb</x:v>
      </x:c>
      <x:c r="C85" s="8" t="str">
        <x:v>Gary</x:v>
      </x:c>
      <x:c r="D85" s="8" t="str">
        <x:v>Tubb</x:v>
      </x:c>
      <x:c r="E85" s="8" t="str">
        <x:v>tubb@uchicago.edu</x:v>
      </x:c>
      <x:c r="F85" s="8" t="str">
        <x:v>uchicago.edu</x:v>
      </x:c>
      <x:c r="G85" s="8" t="str"/>
      <x:c r="H85" s="8" t="str"/>
      <x:c r="I85" s="8" t="str"/>
      <x:c r="J85" s="8" t="str"/>
      <x:c r="K85" s="14" t="n">
        <x:v>2025</x:v>
      </x:c>
      <x:c r="L85" s="8" t="str">
        <x:v>Gary Tubb</x:v>
      </x:c>
      <x:c r="M85" s="8" t="str">
        <x:v>Gary</x:v>
      </x:c>
      <x:c r="N85" s="8" t="str">
        <x:v>Tubb</x:v>
      </x:c>
      <x:c r="O85" s="8" t="str"/>
      <x:c r="P85" s="15" t="str"/>
      <x:c r="Q85" s="8" t="str">
        <x:v>University of Chicago</x:v>
      </x:c>
      <x:c r="R85" s="8" t="str">
        <x:v>High</x:v>
      </x:c>
      <x:c r="S85" s="15" t="str">
        <x:v>Official University of Chicago profile lists Gary Tubb and the same email address; professor emeritus.</x:v>
      </x:c>
      <x:c r="T85" s="8" t="str"/>
      <x:c r="U85" s="8" t="str"/>
      <x:c r="V85" s="15" t="str"/>
      <x:c r="W85" s="8" t="str">
        <x:v>https://salc.uchicago.edu/gary-tubb</x:v>
      </x:c>
      <x:c r="X85" s="8" t="str">
        <x:v>Institution</x:v>
      </x:c>
      <x:c r="Y85" s="17" t="str">
        <x:v>Proposed change</x:v>
      </x:c>
      <x:c r="Z85" s="20" t="str"/>
      <x:c r="AA85" s="21" t="str"/>
    </x:row>
    <x:row r="86">
      <x:c r="A86" s="8" t="str">
        <x:v>SAGP000379</x:v>
      </x:c>
      <x:c r="B86" s="8" t="str">
        <x:v>Geoff Batchelder</x:v>
      </x:c>
      <x:c r="C86" s="8" t="str">
        <x:v>Geoff</x:v>
      </x:c>
      <x:c r="D86" s="8" t="str">
        <x:v>Batchelder</x:v>
      </x:c>
      <x:c r="E86" s="8" t="str">
        <x:v>gmbatch@verizon.net</x:v>
      </x:c>
      <x:c r="F86" s="8" t="str">
        <x:v>verizon.net</x:v>
      </x:c>
      <x:c r="G86" s="8" t="str"/>
      <x:c r="H86" s="8" t="str"/>
      <x:c r="I86" s="8" t="str">
        <x:v>US</x:v>
      </x:c>
      <x:c r="J86" s="8" t="str"/>
      <x:c r="K86" s="14" t="n">
        <x:v>2025</x:v>
      </x:c>
      <x:c r="L86" s="8" t="str">
        <x:v>Geoff Batchelder</x:v>
      </x:c>
      <x:c r="M86" s="8" t="str">
        <x:v>Geoff</x:v>
      </x:c>
      <x:c r="N86" s="8" t="str">
        <x:v>Batchelder</x:v>
      </x:c>
      <x:c r="O86" s="8" t="str"/>
      <x:c r="P86" s="15" t="str"/>
      <x:c r="Q86" s="8" t="str"/>
      <x:c r="R86" s="8" t="str"/>
      <x:c r="S86" s="15" t="str"/>
      <x:c r="T86" s="8" t="str"/>
      <x:c r="U86" s="8" t="str"/>
      <x:c r="V86" s="15" t="str"/>
      <x:c r="W86" s="8" t="str"/>
      <x:c r="X86" s="8" t="str"/>
      <x:c r="Y86" s="19" t="str">
        <x:v>Needs research</x:v>
      </x:c>
      <x:c r="Z86" s="20" t="str"/>
      <x:c r="AA86" s="21" t="str"/>
    </x:row>
    <x:row r="87">
      <x:c r="A87" s="8" t="str">
        <x:v>SAGP000491</x:v>
      </x:c>
      <x:c r="B87" s="8" t="str">
        <x:v>George Walter</x:v>
      </x:c>
      <x:c r="C87" s="8" t="str">
        <x:v>George</x:v>
      </x:c>
      <x:c r="D87" s="8" t="str">
        <x:v>Walter</x:v>
      </x:c>
      <x:c r="E87" s="8" t="str">
        <x:v>geo.d.walter@gmail.com</x:v>
      </x:c>
      <x:c r="F87" s="8" t="str">
        <x:v>gmail.com</x:v>
      </x:c>
      <x:c r="G87" s="8" t="str">
        <x:v>VMI</x:v>
      </x:c>
      <x:c r="H87" s="8" t="str"/>
      <x:c r="I87" s="8" t="str">
        <x:v>US</x:v>
      </x:c>
      <x:c r="J87" s="8" t="str">
        <x:v>MD</x:v>
      </x:c>
      <x:c r="K87" s="14" t="n">
        <x:v>2026</x:v>
      </x:c>
      <x:c r="L87" s="8" t="str">
        <x:v>George Walter</x:v>
      </x:c>
      <x:c r="M87" s="8" t="str">
        <x:v>George</x:v>
      </x:c>
      <x:c r="N87" s="8" t="str">
        <x:v>Walter</x:v>
      </x:c>
      <x:c r="O87" s="8" t="str"/>
      <x:c r="P87" s="15" t="str"/>
      <x:c r="Q87" s="8" t="str">
        <x:v>VMI</x:v>
      </x:c>
      <x:c r="R87" s="8" t="str">
        <x:v>Existing</x:v>
      </x:c>
      <x:c r="S87" s="15" t="str">
        <x:v>Existing database value</x:v>
      </x:c>
      <x:c r="T87" s="8" t="str">
        <x:v>USA Eastern</x:v>
      </x:c>
      <x:c r="U87" s="8" t="str">
        <x:v>High</x:v>
      </x:c>
      <x:c r="V87" s="15" t="str">
        <x:v>Existing country and state</x:v>
      </x:c>
      <x:c r="W87" s="8" t="str"/>
      <x:c r="X87" s="8" t="str">
        <x:v>Region</x:v>
      </x:c>
      <x:c r="Y87" s="17" t="str">
        <x:v>Proposed change</x:v>
      </x:c>
      <x:c r="Z87" s="20" t="str"/>
      <x:c r="AA87" s="21" t="str"/>
    </x:row>
    <x:row r="88">
      <x:c r="A88" s="8" t="str">
        <x:v>SAGP001761</x:v>
      </x:c>
      <x:c r="B88" s="8" t="str">
        <x:v>Georgios Steiris</x:v>
      </x:c>
      <x:c r="C88" s="8" t="str">
        <x:v>Georgios</x:v>
      </x:c>
      <x:c r="D88" s="8" t="str">
        <x:v>Steiris</x:v>
      </x:c>
      <x:c r="E88" s="8" t="str">
        <x:v>gsteiris@ppp.uoa.gr</x:v>
      </x:c>
      <x:c r="F88" s="8" t="str">
        <x:v>ppp.uoa.gr</x:v>
      </x:c>
      <x:c r="G88" s="8" t="str"/>
      <x:c r="H88" s="8" t="str"/>
      <x:c r="I88" s="8" t="str"/>
      <x:c r="J88" s="8" t="str"/>
      <x:c r="K88" s="14" t="n">
        <x:v>2029</x:v>
      </x:c>
      <x:c r="L88" s="8" t="str">
        <x:v>Georgios Steiris</x:v>
      </x:c>
      <x:c r="M88" s="8" t="str">
        <x:v>Georgios</x:v>
      </x:c>
      <x:c r="N88" s="8" t="str">
        <x:v>Steiris</x:v>
      </x:c>
      <x:c r="O88" s="8" t="str"/>
      <x:c r="P88" s="15" t="str"/>
      <x:c r="Q88" s="8" t="str">
        <x:v>National and Kapodistrian University of Athens</x:v>
      </x:c>
      <x:c r="R88" s="8" t="str">
        <x:v>High</x:v>
      </x:c>
      <x:c r="S88" s="15" t="str">
        <x:v>Official National and Kapodistrian University of Athens page lists Georgios/George Steiris as professor and department president.</x:v>
      </x:c>
      <x:c r="T88" s="8" t="str">
        <x:v>Europe</x:v>
      </x:c>
      <x:c r="U88" s="8" t="str">
        <x:v>Medium</x:v>
      </x:c>
      <x:c r="V88" s="15" t="str">
        <x:v>Institutional email country domain</x:v>
      </x:c>
      <x:c r="W88" s="8" t="str">
        <x:v>https://en.philosophy.uoa.gr/department/administration</x:v>
      </x:c>
      <x:c r="X88" s="8" t="str">
        <x:v>Institution, Region</x:v>
      </x:c>
      <x:c r="Y88" s="19" t="str">
        <x:v>Needs research</x:v>
      </x:c>
      <x:c r="Z88" s="20" t="str"/>
      <x:c r="AA88" s="21" t="str">
        <x:v>Official page uses gsteiris@philosophy.uoa.gr; member record uses gsteiris@ppp.uoa.gr.</x:v>
      </x:c>
    </x:row>
    <x:row r="89">
      <x:c r="A89" s="8" t="str">
        <x:v>SAGP000250</x:v>
      </x:c>
      <x:c r="B89" s="8" t="str">
        <x:v>Gina Santiago</x:v>
      </x:c>
      <x:c r="C89" s="8" t="str">
        <x:v>Gina</x:v>
      </x:c>
      <x:c r="D89" s="8" t="str">
        <x:v>Santiago</x:v>
      </x:c>
      <x:c r="E89" s="8" t="str">
        <x:v>gsantia2@binghamton.edu</x:v>
      </x:c>
      <x:c r="F89" s="8" t="str">
        <x:v>binghamton.edu</x:v>
      </x:c>
      <x:c r="G89" s="8" t="str"/>
      <x:c r="H89" s="8" t="str"/>
      <x:c r="I89" s="8" t="str">
        <x:v>US</x:v>
      </x:c>
      <x:c r="J89" s="8" t="str">
        <x:v>NY</x:v>
      </x:c>
      <x:c r="K89" s="14" t="n">
        <x:v>2025</x:v>
      </x:c>
      <x:c r="L89" s="8" t="str">
        <x:v>Gina Santiago</x:v>
      </x:c>
      <x:c r="M89" s="8" t="str">
        <x:v>Gina</x:v>
      </x:c>
      <x:c r="N89" s="8" t="str">
        <x:v>Santiago</x:v>
      </x:c>
      <x:c r="O89" s="8" t="str"/>
      <x:c r="P89" s="15" t="str"/>
      <x:c r="Q89" s="8" t="str">
        <x:v>El Colegio de México</x:v>
      </x:c>
      <x:c r="R89" s="8" t="str">
        <x:v>High</x:v>
      </x:c>
      <x:c r="S89" s="15" t="str">
        <x:v>Official Binghamton placement page identifies Gina Santiago's 2025 PhD and placement as Assistant Professor at El Colegio de México.</x:v>
      </x:c>
      <x:c r="T89" s="8" t="str">
        <x:v>USA Eastern</x:v>
      </x:c>
      <x:c r="U89" s="8" t="str">
        <x:v>High</x:v>
      </x:c>
      <x:c r="V89" s="15" t="str">
        <x:v>Existing country and state</x:v>
      </x:c>
      <x:c r="W89" s="8" t="str">
        <x:v>https://www.binghamton.edu/philosophy/graduate/dissertations-admissions.html</x:v>
      </x:c>
      <x:c r="X89" s="8" t="str">
        <x:v>Institution, Region</x:v>
      </x:c>
      <x:c r="Y89" s="19" t="str">
        <x:v>Needs research</x:v>
      </x:c>
      <x:c r="Z89" s="20" t="str"/>
      <x:c r="AA89" s="21" t="str">
        <x:v>Institution proposal updated from former graduate institution to current placement.</x:v>
      </x:c>
    </x:row>
    <x:row r="90">
      <x:c r="A90" s="8" t="str">
        <x:v>SAGP000804</x:v>
      </x:c>
      <x:c r="B90" s="8" t="str">
        <x:v>Gonzales Humberto</x:v>
      </x:c>
      <x:c r="C90" s="8" t="str">
        <x:v>Gonzales</x:v>
      </x:c>
      <x:c r="D90" s="8" t="str">
        <x:v>Humberto</x:v>
      </x:c>
      <x:c r="E90" s="8" t="str">
        <x:v>hgonzal2@villanova.edu</x:v>
      </x:c>
      <x:c r="F90" s="8" t="str">
        <x:v>villanova.edu</x:v>
      </x:c>
      <x:c r="G90" s="8" t="str"/>
      <x:c r="H90" s="8" t="str"/>
      <x:c r="I90" s="8" t="str">
        <x:v>US</x:v>
      </x:c>
      <x:c r="J90" s="8" t="str">
        <x:v>IL</x:v>
      </x:c>
      <x:c r="K90" s="14" t="n">
        <x:v>2025</x:v>
      </x:c>
      <x:c r="L90" s="8" t="str">
        <x:v>Gonzales Humberto</x:v>
      </x:c>
      <x:c r="M90" s="8" t="str">
        <x:v>Gonzales</x:v>
      </x:c>
      <x:c r="N90" s="8" t="str">
        <x:v>Humberto</x:v>
      </x:c>
      <x:c r="O90" s="8" t="str"/>
      <x:c r="P90" s="15" t="str"/>
      <x:c r="Q90" s="8" t="str">
        <x:v>The University of Texas at Dallas</x:v>
      </x:c>
      <x:c r="R90" s="8" t="str">
        <x:v>High</x:v>
      </x:c>
      <x:c r="S90" s="15" t="str">
        <x:v>The current official UT Dallas profile lists Humberto González-Núñez as Assistant Professor of Philosophy, appointed in 2023.</x:v>
      </x:c>
      <x:c r="T90" s="8" t="str">
        <x:v>USA Central</x:v>
      </x:c>
      <x:c r="U90" s="8" t="str">
        <x:v>High</x:v>
      </x:c>
      <x:c r="V90" s="15" t="str">
        <x:v>Existing country and state</x:v>
      </x:c>
      <x:c r="W90" s="8" t="str">
        <x:v>https://profiles.utdallas.edu/humberto.gonzaleznunez</x:v>
      </x:c>
      <x:c r="X90" s="8" t="str">
        <x:v>Institution, Region</x:v>
      </x:c>
      <x:c r="Y90" s="17" t="str">
        <x:v>Proposed change</x:v>
      </x:c>
      <x:c r="Z90" s="20" t="str"/>
      <x:c r="AA90" s="21" t="str">
        <x:v>Villanova was his doctoral institution; current affiliation is UT Dallas.</x:v>
      </x:c>
    </x:row>
    <x:row r="91">
      <x:c r="A91" s="8" t="str">
        <x:v>SAGP000162</x:v>
      </x:c>
      <x:c r="B91" s="8" t="str">
        <x:v>Gregory Scott</x:v>
      </x:c>
      <x:c r="C91" s="8" t="str">
        <x:v>Gregory</x:v>
      </x:c>
      <x:c r="D91" s="8" t="str">
        <x:v>Scott</x:v>
      </x:c>
      <x:c r="E91" s="8" t="str">
        <x:v>drgscott62@gmail.com</x:v>
      </x:c>
      <x:c r="F91" s="8" t="str">
        <x:v>gmail.com</x:v>
      </x:c>
      <x:c r="G91" s="8" t="str"/>
      <x:c r="H91" s="8" t="str"/>
      <x:c r="I91" s="8" t="str">
        <x:v>US</x:v>
      </x:c>
      <x:c r="J91" s="8" t="str">
        <x:v>NY</x:v>
      </x:c>
      <x:c r="K91" s="14" t="n">
        <x:v>2025</x:v>
      </x:c>
      <x:c r="L91" s="8" t="str">
        <x:v>Gregory Scott</x:v>
      </x:c>
      <x:c r="M91" s="8" t="str">
        <x:v>Gregory</x:v>
      </x:c>
      <x:c r="N91" s="8" t="str">
        <x:v>Scott</x:v>
      </x:c>
      <x:c r="O91" s="8" t="str"/>
      <x:c r="P91" s="15" t="str"/>
      <x:c r="Q91" s="8" t="str"/>
      <x:c r="R91" s="8" t="str"/>
      <x:c r="S91" s="15" t="str"/>
      <x:c r="T91" s="8" t="str">
        <x:v>USA Eastern</x:v>
      </x:c>
      <x:c r="U91" s="8" t="str">
        <x:v>High</x:v>
      </x:c>
      <x:c r="V91" s="15" t="str">
        <x:v>Existing country and state</x:v>
      </x:c>
      <x:c r="W91" s="8" t="str"/>
      <x:c r="X91" s="8" t="str">
        <x:v>Region</x:v>
      </x:c>
      <x:c r="Y91" s="17" t="str">
        <x:v>Proposed change</x:v>
      </x:c>
      <x:c r="Z91" s="20" t="str"/>
      <x:c r="AA91" s="21" t="str"/>
    </x:row>
    <x:row r="92">
      <x:c r="A92" s="8" t="str">
        <x:v>SAGP001514</x:v>
      </x:c>
      <x:c r="B92" s="8" t="str">
        <x:v>Griffiths Jonathan</x:v>
      </x:c>
      <x:c r="C92" s="8" t="str">
        <x:v>Griffiths</x:v>
      </x:c>
      <x:c r="D92" s="8" t="str">
        <x:v>Jonathan</x:v>
      </x:c>
      <x:c r="E92" s="8" t="str">
        <x:v>j.griffiths.17@ucl.ac.uk</x:v>
      </x:c>
      <x:c r="F92" s="8" t="str">
        <x:v>ucl.ac.uk</x:v>
      </x:c>
      <x:c r="G92" s="8" t="str"/>
      <x:c r="H92" s="8" t="str"/>
      <x:c r="I92" s="8" t="str"/>
      <x:c r="J92" s="8" t="str"/>
      <x:c r="K92" s="14" t="n">
        <x:v>2025</x:v>
      </x:c>
      <x:c r="L92" s="8" t="str">
        <x:v>Griffiths Jonathan</x:v>
      </x:c>
      <x:c r="M92" s="8" t="str">
        <x:v>Griffiths</x:v>
      </x:c>
      <x:c r="N92" s="8" t="str">
        <x:v>Jonathan</x:v>
      </x:c>
      <x:c r="O92" s="8" t="str"/>
      <x:c r="P92" s="15" t="str"/>
      <x:c r="Q92" s="8" t="str">
        <x:v>University of Tübingen</x:v>
      </x:c>
      <x:c r="R92" s="8" t="str">
        <x:v>Medium</x:v>
      </x:c>
      <x:c r="S92" s="15" t="str">
        <x:v>A current self-maintained scholarly profile identifies Jonathan Griffiths as a postdoctoral researcher at Tübingen, but an official university directory entry was not located.</x:v>
      </x:c>
      <x:c r="T92" s="8" t="str">
        <x:v>Europe</x:v>
      </x:c>
      <x:c r="U92" s="8" t="str">
        <x:v>Medium</x:v>
      </x:c>
      <x:c r="V92" s="15" t="str">
        <x:v>Institutional email country domain</x:v>
      </x:c>
      <x:c r="W92" s="8" t="str">
        <x:v>https://philpeople.org/profiles/jonathan-griffiths</x:v>
      </x:c>
      <x:c r="X92" s="8" t="str">
        <x:v>Institution, Region</x:v>
      </x:c>
      <x:c r="Y92" s="19" t="str">
        <x:v>Needs research</x:v>
      </x:c>
      <x:c r="Z92" s="20" t="str"/>
      <x:c r="AA92" s="21" t="str">
        <x:v>UCL was the PhD institution. Tübingen is the strongest current lead, but official confirmation is still needed.</x:v>
      </x:c>
    </x:row>
    <x:row r="93">
      <x:c r="A93" s="8" t="str">
        <x:v>SAGP000092</x:v>
      </x:c>
      <x:c r="B93" s="8" t="str">
        <x:v>Haagenson Jacob</x:v>
      </x:c>
      <x:c r="C93" s="8" t="str">
        <x:v>Haagenson</x:v>
      </x:c>
      <x:c r="D93" s="8" t="str">
        <x:v>Jacob</x:v>
      </x:c>
      <x:c r="E93" s="8" t="str">
        <x:v>jch2212@columbia.edu</x:v>
      </x:c>
      <x:c r="F93" s="8" t="str">
        <x:v>columbia.edu</x:v>
      </x:c>
      <x:c r="G93" s="8" t="str"/>
      <x:c r="H93" s="8" t="str"/>
      <x:c r="I93" s="8" t="str">
        <x:v>US</x:v>
      </x:c>
      <x:c r="J93" s="8" t="str">
        <x:v>MN</x:v>
      </x:c>
      <x:c r="K93" s="14" t="n">
        <x:v>2025</x:v>
      </x:c>
      <x:c r="L93" s="8" t="str">
        <x:v>Haagenson Jacob</x:v>
      </x:c>
      <x:c r="M93" s="8" t="str">
        <x:v>Haagenson</x:v>
      </x:c>
      <x:c r="N93" s="8" t="str">
        <x:v>Jacob</x:v>
      </x:c>
      <x:c r="O93" s="8" t="str"/>
      <x:c r="P93" s="15" t="str"/>
      <x:c r="Q93" s="8" t="str">
        <x:v>Columbia University</x:v>
      </x:c>
      <x:c r="R93" s="8" t="str">
        <x:v>High</x:v>
      </x:c>
      <x:c r="S93" s="15" t="str">
        <x:v>Official Columbia University profile lists Jacob Haagenson as a Classical Studies PhD candidate.</x:v>
      </x:c>
      <x:c r="T93" s="8" t="str">
        <x:v>USA Central</x:v>
      </x:c>
      <x:c r="U93" s="8" t="str">
        <x:v>High</x:v>
      </x:c>
      <x:c r="V93" s="15" t="str">
        <x:v>Existing country and state</x:v>
      </x:c>
      <x:c r="W93" s="8" t="str">
        <x:v>https://classicalstudies.columbia.edu/students/jacob-haagenson</x:v>
      </x:c>
      <x:c r="X93" s="8" t="str">
        <x:v>Institution, Region</x:v>
      </x:c>
      <x:c r="Y93" s="17" t="str">
        <x:v>Proposed change</x:v>
      </x:c>
      <x:c r="Z93" s="20" t="str"/>
      <x:c r="AA93" s="21" t="str"/>
    </x:row>
    <x:row r="94">
      <x:c r="A94" s="8" t="str">
        <x:v>SAGP001244</x:v>
      </x:c>
      <x:c r="B94" s="8" t="str">
        <x:v>Hall Patrick</x:v>
      </x:c>
      <x:c r="C94" s="8" t="str">
        <x:v>Hall</x:v>
      </x:c>
      <x:c r="D94" s="8" t="str">
        <x:v>Patrick</x:v>
      </x:c>
      <x:c r="E94" s="8" t="str">
        <x:v>patrickjameshall01@gmail.com</x:v>
      </x:c>
      <x:c r="F94" s="8" t="str">
        <x:v>gmail.com</x:v>
      </x:c>
      <x:c r="G94" s="8" t="str"/>
      <x:c r="H94" s="8" t="str"/>
      <x:c r="I94" s="8" t="str">
        <x:v>US</x:v>
      </x:c>
      <x:c r="J94" s="8" t="str">
        <x:v>CA</x:v>
      </x:c>
      <x:c r="K94" s="14" t="n">
        <x:v>2029</x:v>
      </x:c>
      <x:c r="L94" s="8" t="str">
        <x:v>Patrick Hall</x:v>
      </x:c>
      <x:c r="M94" s="8" t="str">
        <x:v>Patrick</x:v>
      </x:c>
      <x:c r="N94" s="8" t="str">
        <x:v>Hall</x:v>
      </x:c>
      <x:c r="O94" s="8" t="str">
        <x:v>High</x:v>
      </x:c>
      <x:c r="P94" s="15" t="str">
        <x:v>Email address pattern strongly supports given-name/surname reversal</x:v>
      </x:c>
      <x:c r="Q94" s="8" t="str"/>
      <x:c r="R94" s="8" t="str"/>
      <x:c r="S94" s="15" t="str"/>
      <x:c r="T94" s="8" t="str">
        <x:v>USA Western</x:v>
      </x:c>
      <x:c r="U94" s="8" t="str">
        <x:v>High</x:v>
      </x:c>
      <x:c r="V94" s="15" t="str">
        <x:v>Existing country and state</x:v>
      </x:c>
      <x:c r="W94" s="8" t="str"/>
      <x:c r="X94" s="8" t="str">
        <x:v>Name, Region</x:v>
      </x:c>
      <x:c r="Y94" s="17" t="str">
        <x:v>Proposed change</x:v>
      </x:c>
      <x:c r="Z94" s="20" t="str"/>
      <x:c r="AA94" s="21" t="str"/>
    </x:row>
    <x:row r="95">
      <x:c r="A95" s="8" t="str">
        <x:v>SAGP001245</x:v>
      </x:c>
      <x:c r="B95" s="8" t="str">
        <x:v>Hatch Chandler</x:v>
      </x:c>
      <x:c r="C95" s="8" t="str">
        <x:v>Hatch</x:v>
      </x:c>
      <x:c r="D95" s="8" t="str">
        <x:v>Chandler</x:v>
      </x:c>
      <x:c r="E95" s="8" t="str">
        <x:v>chandler.hatch@nu.edu.kz</x:v>
      </x:c>
      <x:c r="F95" s="8" t="str">
        <x:v>nu.edu.kz</x:v>
      </x:c>
      <x:c r="G95" s="8" t="str"/>
      <x:c r="H95" s="8" t="str"/>
      <x:c r="I95" s="8" t="str">
        <x:v>KZ</x:v>
      </x:c>
      <x:c r="J95" s="8" t="str">
        <x:v>Астана</x:v>
      </x:c>
      <x:c r="K95" s="14" t="n">
        <x:v>2026</x:v>
      </x:c>
      <x:c r="L95" s="8" t="str">
        <x:v>Chandler Hatch</x:v>
      </x:c>
      <x:c r="M95" s="8" t="str">
        <x:v>Chandler</x:v>
      </x:c>
      <x:c r="N95" s="8" t="str">
        <x:v>Hatch</x:v>
      </x:c>
      <x:c r="O95" s="8" t="str">
        <x:v>High</x:v>
      </x:c>
      <x:c r="P95" s="15" t="str">
        <x:v>Email address pattern strongly supports given-name/surname reversal</x:v>
      </x:c>
      <x:c r="Q95" s="8" t="str">
        <x:v>Nazarbayev University</x:v>
      </x:c>
      <x:c r="R95" s="8" t="str">
        <x:v>High</x:v>
      </x:c>
      <x:c r="S95" s="15" t="str">
        <x:v>Official Nazarbayev University research profile lists Chandler Hatch in History, Philosophy and Religious Studies.</x:v>
      </x:c>
      <x:c r="T95" s="8" t="str">
        <x:v>East and Southeast Asia</x:v>
      </x:c>
      <x:c r="U95" s="8" t="str">
        <x:v>Medium</x:v>
      </x:c>
      <x:c r="V95" s="15" t="str">
        <x:v>Institutional email country domain</x:v>
      </x:c>
      <x:c r="W95" s="8" t="str">
        <x:v>https://research.nu.edu.kz/en/persons/chandler-hatch/</x:v>
      </x:c>
      <x:c r="X95" s="8" t="str">
        <x:v>Name, Institution, Region</x:v>
      </x:c>
      <x:c r="Y95" s="17" t="str">
        <x:v>Proposed change</x:v>
      </x:c>
      <x:c r="Z95" s="20" t="str"/>
      <x:c r="AA95" s="21" t="str"/>
    </x:row>
    <x:row r="96">
      <x:c r="A96" s="8" t="str">
        <x:v>SAGP001051</x:v>
      </x:c>
      <x:c r="B96" s="8" t="str">
        <x:v>Hensley Paula</x:v>
      </x:c>
      <x:c r="C96" s="8" t="str">
        <x:v>Hensley</x:v>
      </x:c>
      <x:c r="D96" s="8" t="str">
        <x:v>Paula</x:v>
      </x:c>
      <x:c r="E96" s="8" t="str">
        <x:v>songbirdcourt@gmail.com</x:v>
      </x:c>
      <x:c r="F96" s="8" t="str">
        <x:v>gmail.com</x:v>
      </x:c>
      <x:c r="G96" s="8" t="str"/>
      <x:c r="H96" s="8" t="str"/>
      <x:c r="I96" s="8" t="str">
        <x:v>US</x:v>
      </x:c>
      <x:c r="J96" s="8" t="str">
        <x:v>CA</x:v>
      </x:c>
      <x:c r="K96" s="14" t="n">
        <x:v>2025</x:v>
      </x:c>
      <x:c r="L96" s="8" t="str">
        <x:v>Hensley Paula</x:v>
      </x:c>
      <x:c r="M96" s="8" t="str">
        <x:v>Hensley</x:v>
      </x:c>
      <x:c r="N96" s="8" t="str">
        <x:v>Paula</x:v>
      </x:c>
      <x:c r="O96" s="8" t="str"/>
      <x:c r="P96" s="15" t="str"/>
      <x:c r="Q96" s="8" t="str"/>
      <x:c r="R96" s="8" t="str"/>
      <x:c r="S96" s="15" t="str"/>
      <x:c r="T96" s="8" t="str">
        <x:v>USA Western</x:v>
      </x:c>
      <x:c r="U96" s="8" t="str">
        <x:v>High</x:v>
      </x:c>
      <x:c r="V96" s="15" t="str">
        <x:v>Existing country and state</x:v>
      </x:c>
      <x:c r="W96" s="8" t="str"/>
      <x:c r="X96" s="8" t="str">
        <x:v>Region</x:v>
      </x:c>
      <x:c r="Y96" s="17" t="str">
        <x:v>Proposed change</x:v>
      </x:c>
      <x:c r="Z96" s="20" t="str"/>
      <x:c r="AA96" s="21" t="str"/>
    </x:row>
    <x:row r="97">
      <x:c r="A97" s="8" t="str">
        <x:v>SAGP000631</x:v>
      </x:c>
      <x:c r="B97" s="8" t="str">
        <x:v>Herb Granger</x:v>
      </x:c>
      <x:c r="C97" s="8" t="str">
        <x:v>Herb</x:v>
      </x:c>
      <x:c r="D97" s="8" t="str">
        <x:v>Granger</x:v>
      </x:c>
      <x:c r="E97" s="8" t="str">
        <x:v>ad4985@wayne.edu</x:v>
      </x:c>
      <x:c r="F97" s="8" t="str">
        <x:v>wayne.edu</x:v>
      </x:c>
      <x:c r="G97" s="8" t="str"/>
      <x:c r="H97" s="8" t="str"/>
      <x:c r="I97" s="8" t="str"/>
      <x:c r="J97" s="8" t="str">
        <x:v>MI</x:v>
      </x:c>
      <x:c r="K97" s="14" t="n">
        <x:v>2026</x:v>
      </x:c>
      <x:c r="L97" s="8" t="str">
        <x:v>Herb Granger</x:v>
      </x:c>
      <x:c r="M97" s="8" t="str">
        <x:v>Herb</x:v>
      </x:c>
      <x:c r="N97" s="8" t="str">
        <x:v>Granger</x:v>
      </x:c>
      <x:c r="O97" s="8" t="str"/>
      <x:c r="P97" s="15" t="str"/>
      <x:c r="Q97" s="8" t="str">
        <x:v>Wayne State University</x:v>
      </x:c>
      <x:c r="R97" s="8" t="str">
        <x:v>High</x:v>
      </x:c>
      <x:c r="S97" s="15" t="str">
        <x:v>APA memorial identifies E. Herbert Granger as Wayne State professor emeritus and states that he died in 2018.</x:v>
      </x:c>
      <x:c r="T97" s="8" t="str"/>
      <x:c r="U97" s="8" t="str"/>
      <x:c r="V97" s="15" t="str"/>
      <x:c r="W97" s="8" t="str">
        <x:v>https://www.apaonline.org/page/memorial_minutes2018</x:v>
      </x:c>
      <x:c r="X97" s="8" t="str">
        <x:v>Institution</x:v>
      </x:c>
      <x:c r="Y97" s="19" t="str">
        <x:v>Needs research</x:v>
      </x:c>
      <x:c r="Z97" s="20" t="str"/>
      <x:c r="AA97" s="21" t="str">
        <x:v>IMPORTANT: Source says Herb Granger died in 2018; review why this appears among current paid members.</x:v>
      </x:c>
    </x:row>
    <x:row r="98">
      <x:c r="A98" s="8" t="str">
        <x:v>SAGP001166</x:v>
      </x:c>
      <x:c r="B98" s="8" t="str">
        <x:v>Hill Susan</x:v>
      </x:c>
      <x:c r="C98" s="8" t="str">
        <x:v>Hill</x:v>
      </x:c>
      <x:c r="D98" s="8" t="str">
        <x:v>Susan</x:v>
      </x:c>
      <x:c r="E98" s="8" t="str">
        <x:v>susanphill33@gmail.com</x:v>
      </x:c>
      <x:c r="F98" s="8" t="str">
        <x:v>gmail.com</x:v>
      </x:c>
      <x:c r="G98" s="8" t="str"/>
      <x:c r="H98" s="8" t="str"/>
      <x:c r="I98" s="8" t="str">
        <x:v>CA</x:v>
      </x:c>
      <x:c r="J98" s="8" t="str">
        <x:v>ON</x:v>
      </x:c>
      <x:c r="K98" s="14" t="n">
        <x:v>2026</x:v>
      </x:c>
      <x:c r="L98" s="8" t="str">
        <x:v>Susan Hill</x:v>
      </x:c>
      <x:c r="M98" s="8" t="str">
        <x:v>Susan</x:v>
      </x:c>
      <x:c r="N98" s="8" t="str">
        <x:v>Hill</x:v>
      </x:c>
      <x:c r="O98" s="8" t="str">
        <x:v>High</x:v>
      </x:c>
      <x:c r="P98" s="15" t="str">
        <x:v>Email address pattern strongly supports given-name/surname reversal</x:v>
      </x:c>
      <x:c r="Q98" s="8" t="str"/>
      <x:c r="R98" s="8" t="str"/>
      <x:c r="S98" s="15" t="str"/>
      <x:c r="T98" s="8" t="str">
        <x:v>Canada</x:v>
      </x:c>
      <x:c r="U98" s="8" t="str">
        <x:v>High</x:v>
      </x:c>
      <x:c r="V98" s="15" t="str">
        <x:v>Existing country</x:v>
      </x:c>
      <x:c r="W98" s="8" t="str"/>
      <x:c r="X98" s="8" t="str">
        <x:v>Name, Region</x:v>
      </x:c>
      <x:c r="Y98" s="17" t="str">
        <x:v>Proposed change</x:v>
      </x:c>
      <x:c r="Z98" s="20" t="str"/>
      <x:c r="AA98" s="21" t="str"/>
    </x:row>
    <x:row r="99">
      <x:c r="A99" s="8" t="str">
        <x:v>SAGP000533</x:v>
      </x:c>
      <x:c r="B99" s="8" t="str">
        <x:v>Huang Minxing</x:v>
      </x:c>
      <x:c r="C99" s="8" t="str">
        <x:v>Huang</x:v>
      </x:c>
      <x:c r="D99" s="8" t="str">
        <x:v>Minxing</x:v>
      </x:c>
      <x:c r="E99" s="8" t="str">
        <x:v>huang186@ku.edu</x:v>
      </x:c>
      <x:c r="F99" s="8" t="str">
        <x:v>ku.edu</x:v>
      </x:c>
      <x:c r="G99" s="8" t="str">
        <x:v>Kansas University</x:v>
      </x:c>
      <x:c r="H99" s="8" t="str"/>
      <x:c r="I99" s="8" t="str">
        <x:v>US</x:v>
      </x:c>
      <x:c r="J99" s="8" t="str">
        <x:v>FL</x:v>
      </x:c>
      <x:c r="K99" s="14" t="n">
        <x:v>2025</x:v>
      </x:c>
      <x:c r="L99" s="8" t="str">
        <x:v>Huang Minxing</x:v>
      </x:c>
      <x:c r="M99" s="8" t="str">
        <x:v>Huang</x:v>
      </x:c>
      <x:c r="N99" s="8" t="str">
        <x:v>Minxing</x:v>
      </x:c>
      <x:c r="O99" s="8" t="str"/>
      <x:c r="P99" s="15" t="str"/>
      <x:c r="Q99" s="8" t="str">
        <x:v>Kansas University</x:v>
      </x:c>
      <x:c r="R99" s="8" t="str">
        <x:v>Existing</x:v>
      </x:c>
      <x:c r="S99" s="15" t="str">
        <x:v>Existing database value</x:v>
      </x:c>
      <x:c r="T99" s="8" t="str">
        <x:v>USA Eastern</x:v>
      </x:c>
      <x:c r="U99" s="8" t="str">
        <x:v>High</x:v>
      </x:c>
      <x:c r="V99" s="15" t="str">
        <x:v>Existing country and state</x:v>
      </x:c>
      <x:c r="W99" s="8" t="str"/>
      <x:c r="X99" s="8" t="str">
        <x:v>Region</x:v>
      </x:c>
      <x:c r="Y99" s="17" t="str">
        <x:v>Proposed change</x:v>
      </x:c>
      <x:c r="Z99" s="20" t="str"/>
      <x:c r="AA99" s="21" t="str"/>
    </x:row>
    <x:row r="100">
      <x:c r="A100" s="8" t="str">
        <x:v>SAGP001436</x:v>
      </x:c>
      <x:c r="B100" s="8" t="str">
        <x:v>Hugh Curran</x:v>
      </x:c>
      <x:c r="C100" s="8" t="str">
        <x:v>Hugh</x:v>
      </x:c>
      <x:c r="D100" s="8" t="str">
        <x:v>Curran</x:v>
      </x:c>
      <x:c r="E100" s="8" t="str">
        <x:v>hugh.curran@maine.edu</x:v>
      </x:c>
      <x:c r="F100" s="8" t="str">
        <x:v>maine.edu</x:v>
      </x:c>
      <x:c r="G100" s="8" t="str"/>
      <x:c r="H100" s="8" t="str"/>
      <x:c r="I100" s="8" t="str"/>
      <x:c r="J100" s="8" t="str"/>
      <x:c r="K100" s="14" t="n">
        <x:v>2025</x:v>
      </x:c>
      <x:c r="L100" s="8" t="str">
        <x:v>Hugh Curran</x:v>
      </x:c>
      <x:c r="M100" s="8" t="str">
        <x:v>Hugh</x:v>
      </x:c>
      <x:c r="N100" s="8" t="str">
        <x:v>Curran</x:v>
      </x:c>
      <x:c r="O100" s="8" t="str"/>
      <x:c r="P100" s="15" t="str"/>
      <x:c r="Q100" s="8" t="str">
        <x:v>University of Maine</x:v>
      </x:c>
      <x:c r="R100" s="8" t="str">
        <x:v>High</x:v>
      </x:c>
      <x:c r="S100" s="15" t="str">
        <x:v>An official University of Maine humanities report identifies Hugh Curran as a longtime Peace and Reconciliation Studies lecturer; recent public activity continues to identify him with the university.</x:v>
      </x:c>
      <x:c r="T100" s="8" t="str"/>
      <x:c r="U100" s="8" t="str"/>
      <x:c r="V100" s="15" t="str"/>
      <x:c r="W100" s="8" t="str">
        <x:v>https://umaine.edu/mhc/wp-content/uploads/sites/276/2020/08/516204-2018-Humanities-Report-inside-pgs-REV.pdf</x:v>
      </x:c>
      <x:c r="X100" s="8" t="str">
        <x:v>Institution</x:v>
      </x:c>
      <x:c r="Y100" s="17" t="str">
        <x:v>Proposed change</x:v>
      </x:c>
      <x:c r="Z100" s="20" t="str"/>
      <x:c r="AA100" s="21" t="str">
        <x:v>Confirmed University of Maine affiliation; role is in Peace and Reconciliation Studies rather than the Philosophy department.</x:v>
      </x:c>
    </x:row>
    <x:row r="101">
      <x:c r="A101" s="8" t="str">
        <x:v>SAGP001143</x:v>
      </x:c>
      <x:c r="B101" s="8" t="str">
        <x:v>Ian Drummond</x:v>
      </x:c>
      <x:c r="C101" s="8" t="str">
        <x:v>Ian</x:v>
      </x:c>
      <x:c r="D101" s="8" t="str">
        <x:v>Drummond</x:v>
      </x:c>
      <x:c r="E101" s="8" t="str">
        <x:v>ian.drummond@utoronto.ca</x:v>
      </x:c>
      <x:c r="F101" s="8" t="str">
        <x:v>utoronto.ca</x:v>
      </x:c>
      <x:c r="G101" s="8" t="str"/>
      <x:c r="H101" s="8" t="str"/>
      <x:c r="I101" s="8" t="str"/>
      <x:c r="J101" s="8" t="str"/>
      <x:c r="K101" s="14" t="n">
        <x:v>2025</x:v>
      </x:c>
      <x:c r="L101" s="8" t="str">
        <x:v>Ian Drummond</x:v>
      </x:c>
      <x:c r="M101" s="8" t="str">
        <x:v>Ian</x:v>
      </x:c>
      <x:c r="N101" s="8" t="str">
        <x:v>Drummond</x:v>
      </x:c>
      <x:c r="O101" s="8" t="str"/>
      <x:c r="P101" s="15" t="str"/>
      <x:c r="Q101" s="8" t="str">
        <x:v>Self-employed translator/editor</x:v>
      </x:c>
      <x:c r="R101" s="8" t="str">
        <x:v>Medium</x:v>
      </x:c>
      <x:c r="S101" s="15" t="str">
        <x:v>Toronto's official 2018 placement record lists Ian Drummond as a self-employed translator, copyeditor, and proofreader; no current university appointment was found.</x:v>
      </x:c>
      <x:c r="T101" s="8" t="str"/>
      <x:c r="U101" s="8" t="str"/>
      <x:c r="V101" s="15" t="str"/>
      <x:c r="W101" s="8" t="str">
        <x:v>https://philosophy.utoronto.ca/wp-content/uploads/Placement-record-updated-Apr-10-2018.pdf</x:v>
      </x:c>
      <x:c r="X101" s="8" t="str">
        <x:v>Institution</x:v>
      </x:c>
      <x:c r="Y101" s="19" t="str">
        <x:v>Needs research</x:v>
      </x:c>
      <x:c r="Z101" s="20" t="str"/>
      <x:c r="AA101" s="21" t="str">
        <x:v>University of Toronto is the doctoral institution, not a verified current affiliation. Current professional status remains uncertain.</x:v>
      </x:c>
    </x:row>
    <x:row r="102">
      <x:c r="A102" s="8" t="str">
        <x:v>SAGP001132</x:v>
      </x:c>
      <x:c r="B102" s="8" t="str">
        <x:v>Isabelle Chouinard</x:v>
      </x:c>
      <x:c r="C102" s="8" t="str">
        <x:v>Isabelle</x:v>
      </x:c>
      <x:c r="D102" s="8" t="str">
        <x:v>Chouinard</x:v>
      </x:c>
      <x:c r="E102" s="8" t="str">
        <x:v>chouinard.isabelle@uqam.ca</x:v>
      </x:c>
      <x:c r="F102" s="8" t="str">
        <x:v>uqam.ca</x:v>
      </x:c>
      <x:c r="G102" s="8" t="str">
        <x:v>Université du Québec à Montréal</x:v>
      </x:c>
      <x:c r="H102" s="8" t="str">
        <x:v>Canada Montréal</x:v>
      </x:c>
      <x:c r="I102" s="8" t="str"/>
      <x:c r="J102" s="8" t="str"/>
      <x:c r="K102" s="14" t="n">
        <x:v>2031</x:v>
      </x:c>
      <x:c r="L102" s="8" t="str">
        <x:v>Isabelle Chouinard</x:v>
      </x:c>
      <x:c r="M102" s="8" t="str">
        <x:v>Isabelle</x:v>
      </x:c>
      <x:c r="N102" s="8" t="str">
        <x:v>Chouinard</x:v>
      </x:c>
      <x:c r="O102" s="8" t="str"/>
      <x:c r="P102" s="15" t="str"/>
      <x:c r="Q102" s="8" t="str">
        <x:v>Université du Québec à Montréal</x:v>
      </x:c>
      <x:c r="R102" s="8" t="str">
        <x:v>Existing</x:v>
      </x:c>
      <x:c r="S102" s="15" t="str">
        <x:v>Existing database value</x:v>
      </x:c>
      <x:c r="T102" s="8" t="str">
        <x:v>Canada Montréal</x:v>
      </x:c>
      <x:c r="U102" s="8" t="str">
        <x:v>Existing</x:v>
      </x:c>
      <x:c r="V102" s="15" t="str">
        <x:v>Existing database value</x:v>
      </x:c>
      <x:c r="W102" s="8" t="str"/>
      <x:c r="X102" s="8" t="str"/>
      <x:c r="Y102" s="8" t="str">
        <x:v>No change proposed</x:v>
      </x:c>
      <x:c r="Z102" s="20" t="str"/>
      <x:c r="AA102" s="21" t="str"/>
    </x:row>
    <x:row r="103">
      <x:c r="A103" s="8" t="str">
        <x:v>SAGP001235</x:v>
      </x:c>
      <x:c r="B103" s="8" t="str">
        <x:v>Istvan Bodnar</x:v>
      </x:c>
      <x:c r="C103" s="8" t="str">
        <x:v>Istvan</x:v>
      </x:c>
      <x:c r="D103" s="8" t="str">
        <x:v>Bodnar</x:v>
      </x:c>
      <x:c r="E103" s="8" t="str">
        <x:v>BodnarIM@gmx.com</x:v>
      </x:c>
      <x:c r="F103" s="8" t="str">
        <x:v>gmx.com</x:v>
      </x:c>
      <x:c r="G103" s="8" t="str"/>
      <x:c r="H103" s="8" t="str"/>
      <x:c r="I103" s="8" t="str">
        <x:v>HU</x:v>
      </x:c>
      <x:c r="J103" s="8" t="str"/>
      <x:c r="K103" s="14" t="n">
        <x:v>2025</x:v>
      </x:c>
      <x:c r="L103" s="8" t="str">
        <x:v>Istvan Bodnar</x:v>
      </x:c>
      <x:c r="M103" s="8" t="str">
        <x:v>Istvan</x:v>
      </x:c>
      <x:c r="N103" s="8" t="str">
        <x:v>Bodnar</x:v>
      </x:c>
      <x:c r="O103" s="8" t="str"/>
      <x:c r="P103" s="15" t="str"/>
      <x:c r="Q103" s="8" t="str"/>
      <x:c r="R103" s="8" t="str"/>
      <x:c r="S103" s="15" t="str"/>
      <x:c r="T103" s="8" t="str">
        <x:v>Europe</x:v>
      </x:c>
      <x:c r="U103" s="8" t="str">
        <x:v>High</x:v>
      </x:c>
      <x:c r="V103" s="15" t="str">
        <x:v>Existing country</x:v>
      </x:c>
      <x:c r="W103" s="8" t="str"/>
      <x:c r="X103" s="8" t="str">
        <x:v>Region</x:v>
      </x:c>
      <x:c r="Y103" s="17" t="str">
        <x:v>Proposed change</x:v>
      </x:c>
      <x:c r="Z103" s="20" t="str"/>
      <x:c r="AA103" s="21" t="str"/>
    </x:row>
    <x:row r="104">
      <x:c r="A104" s="8" t="str">
        <x:v>SAGP000912</x:v>
      </x:c>
      <x:c r="B104" s="8" t="str">
        <x:v>Jacob Howland</x:v>
      </x:c>
      <x:c r="C104" s="8" t="str">
        <x:v>Jacob</x:v>
      </x:c>
      <x:c r="D104" s="8" t="str">
        <x:v>Howland</x:v>
      </x:c>
      <x:c r="E104" s="8" t="str">
        <x:v>jacob-howland@utulsa.edu</x:v>
      </x:c>
      <x:c r="F104" s="8" t="str">
        <x:v>utulsa.edu</x:v>
      </x:c>
      <x:c r="G104" s="8" t="str"/>
      <x:c r="H104" s="8" t="str"/>
      <x:c r="I104" s="8" t="str">
        <x:v>US</x:v>
      </x:c>
      <x:c r="J104" s="8" t="str"/>
      <x:c r="K104" s="14" t="n">
        <x:v>2025</x:v>
      </x:c>
      <x:c r="L104" s="8" t="str">
        <x:v>Jacob Howland</x:v>
      </x:c>
      <x:c r="M104" s="8" t="str">
        <x:v>Jacob</x:v>
      </x:c>
      <x:c r="N104" s="8" t="str">
        <x:v>Howland</x:v>
      </x:c>
      <x:c r="O104" s="8" t="str"/>
      <x:c r="P104" s="15" t="str"/>
      <x:c r="Q104" s="8" t="str">
        <x:v>University of Tulsa</x:v>
      </x:c>
      <x:c r="R104" s="8" t="str">
        <x:v>High</x:v>
      </x:c>
      <x:c r="S104" s="15" t="str">
        <x:v>Official University of Tulsa page identifies Jacob Howland as McFarlin Professor of Philosophy.</x:v>
      </x:c>
      <x:c r="T104" s="8" t="str"/>
      <x:c r="U104" s="8" t="str"/>
      <x:c r="V104" s="15" t="str"/>
      <x:c r="W104" s="8" t="str">
        <x:v>https://humanities.utulsa.edu/servile-oblivion/</x:v>
      </x:c>
      <x:c r="X104" s="8" t="str">
        <x:v>Institution</x:v>
      </x:c>
      <x:c r="Y104" s="17" t="str">
        <x:v>Proposed change</x:v>
      </x:c>
      <x:c r="Z104" s="20" t="str"/>
      <x:c r="AA104" s="21" t="str"/>
    </x:row>
    <x:row r="105">
      <x:c r="A105" s="8" t="str">
        <x:v>SAGP000439</x:v>
      </x:c>
      <x:c r="B105" s="8" t="str">
        <x:v>James Lesher</x:v>
      </x:c>
      <x:c r="C105" s="8" t="str">
        <x:v>James</x:v>
      </x:c>
      <x:c r="D105" s="8" t="str">
        <x:v>Lesher</x:v>
      </x:c>
      <x:c r="E105" s="8" t="str">
        <x:v>jlesher@email.unc.edu</x:v>
      </x:c>
      <x:c r="F105" s="8" t="str">
        <x:v>email.unc.edu</x:v>
      </x:c>
      <x:c r="G105" s="8" t="str"/>
      <x:c r="H105" s="8" t="str"/>
      <x:c r="I105" s="8" t="str">
        <x:v>US</x:v>
      </x:c>
      <x:c r="J105" s="8" t="str">
        <x:v>NC</x:v>
      </x:c>
      <x:c r="K105" s="14" t="n">
        <x:v>2032</x:v>
      </x:c>
      <x:c r="L105" s="8" t="str">
        <x:v>James Lesher</x:v>
      </x:c>
      <x:c r="M105" s="8" t="str">
        <x:v>James</x:v>
      </x:c>
      <x:c r="N105" s="8" t="str">
        <x:v>Lesher</x:v>
      </x:c>
      <x:c r="O105" s="8" t="str"/>
      <x:c r="P105" s="15" t="str"/>
      <x:c r="Q105" s="8" t="str">
        <x:v>University of North Carolina at Chapel Hill</x:v>
      </x:c>
      <x:c r="R105" s="8" t="str">
        <x:v>Medium</x:v>
      </x:c>
      <x:c r="S105" s="15" t="str">
        <x:v>Older UNC and professional materials identify James Lesher with UNC, but he is absent from the current official faculty and emeriti roster.</x:v>
      </x:c>
      <x:c r="T105" s="8" t="str">
        <x:v>USA Eastern</x:v>
      </x:c>
      <x:c r="U105" s="8" t="str">
        <x:v>High</x:v>
      </x:c>
      <x:c r="V105" s="15" t="str">
        <x:v>Existing country and state</x:v>
      </x:c>
      <x:c r="W105" s="8" t="str">
        <x:v>https://unc-public.courseleaf.com/undergraduate/departments/philosophy/</x:v>
      </x:c>
      <x:c r="X105" s="8" t="str">
        <x:v>Institution, Region</x:v>
      </x:c>
      <x:c r="Y105" s="19" t="str">
        <x:v>Needs research</x:v>
      </x:c>
      <x:c r="Z105" s="20" t="str"/>
      <x:c r="AA105" s="21" t="str">
        <x:v>Likely retired from UNC; current or emeritus status needs direct confirmation.</x:v>
      </x:c>
    </x:row>
    <x:row r="106">
      <x:c r="A106" s="8" t="str">
        <x:v>SAGP000563</x:v>
      </x:c>
      <x:c r="B106" s="8" t="str">
        <x:v>James Shaw</x:v>
      </x:c>
      <x:c r="C106" s="8" t="str">
        <x:v>James</x:v>
      </x:c>
      <x:c r="D106" s="8" t="str">
        <x:v>Shaw</x:v>
      </x:c>
      <x:c r="E106" s="8" t="str">
        <x:v>Jshaw15@utk.edu</x:v>
      </x:c>
      <x:c r="F106" s="8" t="str">
        <x:v>utk.edu</x:v>
      </x:c>
      <x:c r="G106" s="8" t="str"/>
      <x:c r="H106" s="8" t="str"/>
      <x:c r="I106" s="8" t="str"/>
      <x:c r="J106" s="8" t="str"/>
      <x:c r="K106" s="14" t="n">
        <x:v>2026</x:v>
      </x:c>
      <x:c r="L106" s="8" t="str">
        <x:v>James Shaw</x:v>
      </x:c>
      <x:c r="M106" s="8" t="str">
        <x:v>James</x:v>
      </x:c>
      <x:c r="N106" s="8" t="str">
        <x:v>Shaw</x:v>
      </x:c>
      <x:c r="O106" s="8" t="str"/>
      <x:c r="P106" s="15" t="str"/>
      <x:c r="Q106" s="8" t="str">
        <x:v>University of Tennessee, Knoxville</x:v>
      </x:c>
      <x:c r="R106" s="8" t="str">
        <x:v>High</x:v>
      </x:c>
      <x:c r="S106" s="15" t="str">
        <x:v>Official University of Tennessee profile lists J. Clerk Shaw and the same email address.</x:v>
      </x:c>
      <x:c r="T106" s="8" t="str"/>
      <x:c r="U106" s="8" t="str"/>
      <x:c r="V106" s="15" t="str"/>
      <x:c r="W106" s="8" t="str">
        <x:v>https://classics.utk.edu/people/j-clerk-shaw/</x:v>
      </x:c>
      <x:c r="X106" s="8" t="str">
        <x:v>Institution</x:v>
      </x:c>
      <x:c r="Y106" s="19" t="str">
        <x:v>Needs research</x:v>
      </x:c>
      <x:c r="Z106" s="20" t="str"/>
      <x:c r="AA106" s="21" t="str">
        <x:v>Member display name 'James Shaw' may warrant confirmation against official name 'J. Clerk Shaw'.</x:v>
      </x:c>
    </x:row>
    <x:row r="107">
      <x:c r="A107" s="8" t="str">
        <x:v>SAGP000346</x:v>
      </x:c>
      <x:c r="B107" s="8" t="str">
        <x:v>Jan Maximilian Robitzsch</x:v>
      </x:c>
      <x:c r="C107" s="8" t="str">
        <x:v>Jan Maximilian</x:v>
      </x:c>
      <x:c r="D107" s="8" t="str">
        <x:v>Robitzsch</x:v>
      </x:c>
      <x:c r="E107" s="8" t="str">
        <x:v>jmrobitzsch@gmail.com</x:v>
      </x:c>
      <x:c r="F107" s="8" t="str">
        <x:v>gmail.com</x:v>
      </x:c>
      <x:c r="G107" s="8" t="str"/>
      <x:c r="H107" s="8" t="str"/>
      <x:c r="I107" s="8" t="str">
        <x:v>US</x:v>
      </x:c>
      <x:c r="J107" s="8" t="str">
        <x:v>TN</x:v>
      </x:c>
      <x:c r="K107" s="14" t="n">
        <x:v>2025</x:v>
      </x:c>
      <x:c r="L107" s="8" t="str">
        <x:v>Jan Maximilian Robitzsch</x:v>
      </x:c>
      <x:c r="M107" s="8" t="str">
        <x:v>Jan Maximilian</x:v>
      </x:c>
      <x:c r="N107" s="8" t="str">
        <x:v>Robitzsch</x:v>
      </x:c>
      <x:c r="O107" s="8" t="str"/>
      <x:c r="P107" s="15" t="str"/>
      <x:c r="Q107" s="8" t="str"/>
      <x:c r="R107" s="8" t="str"/>
      <x:c r="S107" s="15" t="str"/>
      <x:c r="T107" s="8" t="str">
        <x:v>USA Central</x:v>
      </x:c>
      <x:c r="U107" s="8" t="str">
        <x:v>High</x:v>
      </x:c>
      <x:c r="V107" s="15" t="str">
        <x:v>Existing country and state</x:v>
      </x:c>
      <x:c r="W107" s="8" t="str"/>
      <x:c r="X107" s="8" t="str">
        <x:v>Region</x:v>
      </x:c>
      <x:c r="Y107" s="17" t="str">
        <x:v>Proposed change</x:v>
      </x:c>
      <x:c r="Z107" s="20" t="str"/>
      <x:c r="AA107" s="21" t="str"/>
    </x:row>
    <x:row r="108">
      <x:c r="A108" s="8" t="str">
        <x:v>SAGP000806</x:v>
      </x:c>
      <x:c r="B108" s="8" t="str">
        <x:v>Jeon Haewon</x:v>
      </x:c>
      <x:c r="C108" s="8" t="str">
        <x:v>Jeon</x:v>
      </x:c>
      <x:c r="D108" s="8" t="str">
        <x:v>Haewon</x:v>
      </x:c>
      <x:c r="E108" s="8" t="str">
        <x:v>haewon@u.northwestern.edu</x:v>
      </x:c>
      <x:c r="F108" s="8" t="str">
        <x:v>u.northwestern.edu</x:v>
      </x:c>
      <x:c r="G108" s="8" t="str"/>
      <x:c r="H108" s="8" t="str"/>
      <x:c r="I108" s="8" t="str"/>
      <x:c r="J108" s="8" t="str"/>
      <x:c r="K108" s="14" t="n">
        <x:v>2025</x:v>
      </x:c>
      <x:c r="L108" s="8" t="str">
        <x:v>Jeon Haewon</x:v>
      </x:c>
      <x:c r="M108" s="8" t="str">
        <x:v>Jeon</x:v>
      </x:c>
      <x:c r="N108" s="8" t="str">
        <x:v>Haewon</x:v>
      </x:c>
      <x:c r="O108" s="8" t="str"/>
      <x:c r="P108" s="15" t="str"/>
      <x:c r="Q108" s="8" t="str">
        <x:v>Metropolitan State University of Denver</x:v>
      </x:c>
      <x:c r="R108" s="8" t="str">
        <x:v>Medium</x:v>
      </x:c>
      <x:c r="S108" s="15" t="str">
        <x:v>A current self-maintained scholarly profile lists Haewon Jeon as other faculty at Metropolitan State University of Denver; Northwestern is listed as the PhD institution.</x:v>
      </x:c>
      <x:c r="T108" s="8" t="str"/>
      <x:c r="U108" s="8" t="str"/>
      <x:c r="V108" s="15" t="str"/>
      <x:c r="W108" s="8" t="str">
        <x:v>https://philpeople.org/profiles/haewon-jeon</x:v>
      </x:c>
      <x:c r="X108" s="8" t="str">
        <x:v>Institution</x:v>
      </x:c>
      <x:c r="Y108" s="19" t="str">
        <x:v>Needs research</x:v>
      </x:c>
      <x:c r="Z108" s="20" t="str"/>
      <x:c r="AA108" s="21" t="str">
        <x:v>MSU Denver is the strongest current lead, but an official university profile was not located.</x:v>
      </x:c>
    </x:row>
    <x:row r="109">
      <x:c r="A109" s="8" t="str">
        <x:v>SAGP000763</x:v>
      </x:c>
      <x:c r="B109" s="8" t="str">
        <x:v>Jeremiah Reedy</x:v>
      </x:c>
      <x:c r="C109" s="8" t="str">
        <x:v>Jeremiah</x:v>
      </x:c>
      <x:c r="D109" s="8" t="str">
        <x:v>Reedy</x:v>
      </x:c>
      <x:c r="E109" s="8" t="str">
        <x:v>reedy@macalester.edu</x:v>
      </x:c>
      <x:c r="F109" s="8" t="str">
        <x:v>macalester.edu</x:v>
      </x:c>
      <x:c r="G109" s="8" t="str"/>
      <x:c r="H109" s="8" t="str"/>
      <x:c r="I109" s="8" t="str"/>
      <x:c r="J109" s="8" t="str"/>
      <x:c r="K109" s="14" t="n">
        <x:v>2030</x:v>
      </x:c>
      <x:c r="L109" s="8" t="str">
        <x:v>Jeremiah Reedy</x:v>
      </x:c>
      <x:c r="M109" s="8" t="str">
        <x:v>Jeremiah</x:v>
      </x:c>
      <x:c r="N109" s="8" t="str">
        <x:v>Reedy</x:v>
      </x:c>
      <x:c r="O109" s="8" t="str"/>
      <x:c r="P109" s="15" t="str"/>
      <x:c r="Q109" s="8" t="str">
        <x:v>Macalester College</x:v>
      </x:c>
      <x:c r="R109" s="8" t="str">
        <x:v>High</x:v>
      </x:c>
      <x:c r="S109" s="15" t="str">
        <x:v>Official Macalester College publication identifies Jeremiah Reedy as professor emeritus and states that he died in 2025.</x:v>
      </x:c>
      <x:c r="T109" s="8" t="str"/>
      <x:c r="U109" s="8" t="str"/>
      <x:c r="V109" s="15" t="str"/>
      <x:c r="W109" s="8" t="str">
        <x:v>https://www.macalester.edu/classics/wp-content/uploads/sites/561/2026/01/CMME-Newsletter-Antiquity-Now-Fall-2025.pdf</x:v>
      </x:c>
      <x:c r="X109" s="8" t="str">
        <x:v>Institution</x:v>
      </x:c>
      <x:c r="Y109" s="19" t="str">
        <x:v>Needs research</x:v>
      </x:c>
      <x:c r="Z109" s="20" t="str"/>
      <x:c r="AA109" s="21" t="str">
        <x:v>IMPORTANT: University source says Jeremiah Reedy died May 28, 2025; review why this appears among current paid members.</x:v>
      </x:c>
    </x:row>
    <x:row r="110">
      <x:c r="A110" s="8" t="str">
        <x:v>SAGP000913</x:v>
      </x:c>
      <x:c r="B110" s="8" t="str">
        <x:v>Jie Chen</x:v>
      </x:c>
      <x:c r="C110" s="8" t="str">
        <x:v>Jie</x:v>
      </x:c>
      <x:c r="D110" s="8" t="str">
        <x:v>Chen</x:v>
      </x:c>
      <x:c r="E110" s="8" t="str">
        <x:v>jc139@rice.edu</x:v>
      </x:c>
      <x:c r="F110" s="8" t="str">
        <x:v>rice.edu</x:v>
      </x:c>
      <x:c r="G110" s="8" t="str">
        <x:v>Rice University</x:v>
      </x:c>
      <x:c r="H110" s="8" t="str"/>
      <x:c r="I110" s="8" t="str">
        <x:v>US</x:v>
      </x:c>
      <x:c r="J110" s="8" t="str">
        <x:v>TX</x:v>
      </x:c>
      <x:c r="K110" s="14" t="n">
        <x:v>2025</x:v>
      </x:c>
      <x:c r="L110" s="8" t="str">
        <x:v>Jie Chen</x:v>
      </x:c>
      <x:c r="M110" s="8" t="str">
        <x:v>Jie</x:v>
      </x:c>
      <x:c r="N110" s="8" t="str">
        <x:v>Chen</x:v>
      </x:c>
      <x:c r="O110" s="8" t="str"/>
      <x:c r="P110" s="15" t="str"/>
      <x:c r="Q110" s="8" t="str">
        <x:v>Rice University</x:v>
      </x:c>
      <x:c r="R110" s="8" t="str">
        <x:v>Existing</x:v>
      </x:c>
      <x:c r="S110" s="15" t="str">
        <x:v>Existing database value</x:v>
      </x:c>
      <x:c r="T110" s="8" t="str">
        <x:v>USA Central</x:v>
      </x:c>
      <x:c r="U110" s="8" t="str">
        <x:v>High</x:v>
      </x:c>
      <x:c r="V110" s="15" t="str">
        <x:v>Existing country and state</x:v>
      </x:c>
      <x:c r="W110" s="8" t="str"/>
      <x:c r="X110" s="8" t="str">
        <x:v>Region</x:v>
      </x:c>
      <x:c r="Y110" s="17" t="str">
        <x:v>Proposed change</x:v>
      </x:c>
      <x:c r="Z110" s="20" t="str"/>
      <x:c r="AA110" s="21" t="str"/>
    </x:row>
    <x:row r="111">
      <x:c r="A111" s="8" t="str">
        <x:v>SAGP000376</x:v>
      </x:c>
      <x:c r="B111" s="8" t="str">
        <x:v>John Armstrong</x:v>
      </x:c>
      <x:c r="C111" s="8" t="str">
        <x:v>John</x:v>
      </x:c>
      <x:c r="D111" s="8" t="str">
        <x:v>Armstrong</x:v>
      </x:c>
      <x:c r="E111" s="8" t="str">
        <x:v>john.armstrong@svu.edu</x:v>
      </x:c>
      <x:c r="F111" s="8" t="str">
        <x:v>svu.edu</x:v>
      </x:c>
      <x:c r="G111" s="8" t="str"/>
      <x:c r="H111" s="8" t="str"/>
      <x:c r="I111" s="8" t="str">
        <x:v>US</x:v>
      </x:c>
      <x:c r="J111" s="8" t="str">
        <x:v>VA</x:v>
      </x:c>
      <x:c r="K111" s="14" t="n">
        <x:v>2027</x:v>
      </x:c>
      <x:c r="L111" s="8" t="str">
        <x:v>John Armstrong</x:v>
      </x:c>
      <x:c r="M111" s="8" t="str">
        <x:v>John</x:v>
      </x:c>
      <x:c r="N111" s="8" t="str">
        <x:v>Armstrong</x:v>
      </x:c>
      <x:c r="O111" s="8" t="str"/>
      <x:c r="P111" s="15" t="str"/>
      <x:c r="Q111" s="8" t="str">
        <x:v>Southern Virginia University</x:v>
      </x:c>
      <x:c r="R111" s="8" t="str">
        <x:v>High</x:v>
      </x:c>
      <x:c r="S111" s="15" t="str">
        <x:v>Official Southern Virginia University profile lists John Armstrong and the same email address.</x:v>
      </x:c>
      <x:c r="T111" s="8" t="str">
        <x:v>USA Eastern</x:v>
      </x:c>
      <x:c r="U111" s="8" t="str">
        <x:v>High</x:v>
      </x:c>
      <x:c r="V111" s="15" t="str">
        <x:v>Existing country and state</x:v>
      </x:c>
      <x:c r="W111" s="8" t="str">
        <x:v>https://svu.edu/bios/john-armstrong/</x:v>
      </x:c>
      <x:c r="X111" s="8" t="str">
        <x:v>Institution, Region</x:v>
      </x:c>
      <x:c r="Y111" s="17" t="str">
        <x:v>Proposed change</x:v>
      </x:c>
      <x:c r="Z111" s="20" t="str"/>
      <x:c r="AA111" s="21" t="str"/>
    </x:row>
    <x:row r="112">
      <x:c r="A112" s="8" t="str">
        <x:v>SAGP001011</x:v>
      </x:c>
      <x:c r="B112" s="8" t="str">
        <x:v>John Bowin</x:v>
      </x:c>
      <x:c r="C112" s="8" t="str">
        <x:v>John</x:v>
      </x:c>
      <x:c r="D112" s="8" t="str">
        <x:v>Bowin</x:v>
      </x:c>
      <x:c r="E112" s="8" t="str">
        <x:v>jbowin@ucsc.edu</x:v>
      </x:c>
      <x:c r="F112" s="8" t="str">
        <x:v>ucsc.edu</x:v>
      </x:c>
      <x:c r="G112" s="8" t="str"/>
      <x:c r="H112" s="8" t="str"/>
      <x:c r="I112" s="8" t="str">
        <x:v>US</x:v>
      </x:c>
      <x:c r="J112" s="8" t="str">
        <x:v>CA</x:v>
      </x:c>
      <x:c r="K112" s="14" t="n">
        <x:v>2026</x:v>
      </x:c>
      <x:c r="L112" s="8" t="str">
        <x:v>John Bowin</x:v>
      </x:c>
      <x:c r="M112" s="8" t="str">
        <x:v>John</x:v>
      </x:c>
      <x:c r="N112" s="8" t="str">
        <x:v>Bowin</x:v>
      </x:c>
      <x:c r="O112" s="8" t="str"/>
      <x:c r="P112" s="15" t="str"/>
      <x:c r="Q112" s="8" t="str">
        <x:v>University of California, Santa Cruz</x:v>
      </x:c>
      <x:c r="R112" s="8" t="str">
        <x:v>High</x:v>
      </x:c>
      <x:c r="S112" s="15" t="str">
        <x:v>Official UC Santa Cruz profile lists John F. Bowin and the same email address.</x:v>
      </x:c>
      <x:c r="T112" s="8" t="str">
        <x:v>USA Western</x:v>
      </x:c>
      <x:c r="U112" s="8" t="str">
        <x:v>High</x:v>
      </x:c>
      <x:c r="V112" s="15" t="str">
        <x:v>Existing country and state</x:v>
      </x:c>
      <x:c r="W112" s="8" t="str">
        <x:v>https://philosophy.ucsc.edu/directory/jbowin/</x:v>
      </x:c>
      <x:c r="X112" s="8" t="str">
        <x:v>Institution, Region</x:v>
      </x:c>
      <x:c r="Y112" s="17" t="str">
        <x:v>Proposed change</x:v>
      </x:c>
      <x:c r="Z112" s="20" t="str"/>
      <x:c r="AA112" s="21" t="str"/>
    </x:row>
    <x:row r="113">
      <x:c r="A113" s="8" t="str">
        <x:v>SAGP001461</x:v>
      </x:c>
      <x:c r="B113" s="8" t="str">
        <x:v>John Dudley</x:v>
      </x:c>
      <x:c r="C113" s="8" t="str">
        <x:v>John</x:v>
      </x:c>
      <x:c r="D113" s="8" t="str">
        <x:v>Dudley</x:v>
      </x:c>
      <x:c r="E113" s="8" t="str">
        <x:v>jajdudley@yahoo.co.uk</x:v>
      </x:c>
      <x:c r="F113" s="8" t="str">
        <x:v>yahoo.co.uk</x:v>
      </x:c>
      <x:c r="G113" s="8" t="str"/>
      <x:c r="H113" s="8" t="str"/>
      <x:c r="I113" s="8" t="str"/>
      <x:c r="J113" s="8" t="str"/>
      <x:c r="K113" s="14" t="n">
        <x:v>2026</x:v>
      </x:c>
      <x:c r="L113" s="8" t="str">
        <x:v>John Dudley</x:v>
      </x:c>
      <x:c r="M113" s="8" t="str">
        <x:v>John</x:v>
      </x:c>
      <x:c r="N113" s="8" t="str">
        <x:v>Dudley</x:v>
      </x:c>
      <x:c r="O113" s="8" t="str"/>
      <x:c r="P113" s="15" t="str"/>
      <x:c r="Q113" s="8" t="str"/>
      <x:c r="R113" s="8" t="str"/>
      <x:c r="S113" s="15" t="str"/>
      <x:c r="T113" s="8" t="str">
        <x:v>Europe</x:v>
      </x:c>
      <x:c r="U113" s="8" t="str">
        <x:v>Medium</x:v>
      </x:c>
      <x:c r="V113" s="15" t="str">
        <x:v>Institutional email country domain</x:v>
      </x:c>
      <x:c r="W113" s="8" t="str"/>
      <x:c r="X113" s="8" t="str">
        <x:v>Region</x:v>
      </x:c>
      <x:c r="Y113" s="17" t="str">
        <x:v>Proposed change</x:v>
      </x:c>
      <x:c r="Z113" s="20" t="str"/>
      <x:c r="AA113" s="21" t="str"/>
    </x:row>
    <x:row r="114">
      <x:c r="A114" s="8" t="str">
        <x:v>SAGP000523</x:v>
      </x:c>
      <x:c r="B114" s="8" t="str">
        <x:v>John Garner</x:v>
      </x:c>
      <x:c r="C114" s="8" t="str">
        <x:v>John</x:v>
      </x:c>
      <x:c r="D114" s="8" t="str">
        <x:v>Garner</x:v>
      </x:c>
      <x:c r="E114" s="8" t="str">
        <x:v>jgarner@westga.edu</x:v>
      </x:c>
      <x:c r="F114" s="8" t="str">
        <x:v>westga.edu</x:v>
      </x:c>
      <x:c r="G114" s="8" t="str"/>
      <x:c r="H114" s="8" t="str"/>
      <x:c r="I114" s="8" t="str">
        <x:v>US ::: US</x:v>
      </x:c>
      <x:c r="J114" s="8" t="str">
        <x:v>GA ::: GA</x:v>
      </x:c>
      <x:c r="K114" s="14" t="n">
        <x:v>2025</x:v>
      </x:c>
      <x:c r="L114" s="8" t="str">
        <x:v>John Garner</x:v>
      </x:c>
      <x:c r="M114" s="8" t="str">
        <x:v>John</x:v>
      </x:c>
      <x:c r="N114" s="8" t="str">
        <x:v>Garner</x:v>
      </x:c>
      <x:c r="O114" s="8" t="str"/>
      <x:c r="P114" s="15" t="str"/>
      <x:c r="Q114" s="8" t="str">
        <x:v>University of West Georgia</x:v>
      </x:c>
      <x:c r="R114" s="8" t="str">
        <x:v>High</x:v>
      </x:c>
      <x:c r="S114" s="15" t="str">
        <x:v>Official University of West Georgia profile lists John V. Garner and the same email address.</x:v>
      </x:c>
      <x:c r="T114" s="8" t="str"/>
      <x:c r="U114" s="8" t="str"/>
      <x:c r="V114" s="15" t="str"/>
      <x:c r="W114" s="8" t="str">
        <x:v>https://www2.westga.edu/profile.php?emp_id=90871</x:v>
      </x:c>
      <x:c r="X114" s="8" t="str">
        <x:v>Institution</x:v>
      </x:c>
      <x:c r="Y114" s="17" t="str">
        <x:v>Proposed change</x:v>
      </x:c>
      <x:c r="Z114" s="20" t="str"/>
      <x:c r="AA114" s="21" t="str"/>
    </x:row>
    <x:row r="115">
      <x:c r="A115" s="8" t="str">
        <x:v>SAGP000908</x:v>
      </x:c>
      <x:c r="B115" s="8" t="str">
        <x:v>John Heil</x:v>
      </x:c>
      <x:c r="C115" s="8" t="str">
        <x:v>John</x:v>
      </x:c>
      <x:c r="D115" s="8" t="str">
        <x:v>Heil</x:v>
      </x:c>
      <x:c r="E115" s="8" t="str">
        <x:v>jheil@trinity.edu</x:v>
      </x:c>
      <x:c r="F115" s="8" t="str">
        <x:v>trinity.edu</x:v>
      </x:c>
      <x:c r="G115" s="8" t="str"/>
      <x:c r="H115" s="8" t="str"/>
      <x:c r="I115" s="8" t="str"/>
      <x:c r="J115" s="8" t="str"/>
      <x:c r="K115" s="14" t="n">
        <x:v>2029</x:v>
      </x:c>
      <x:c r="L115" s="8" t="str">
        <x:v>John Heil</x:v>
      </x:c>
      <x:c r="M115" s="8" t="str">
        <x:v>John</x:v>
      </x:c>
      <x:c r="N115" s="8" t="str">
        <x:v>Heil</x:v>
      </x:c>
      <x:c r="O115" s="8" t="str"/>
      <x:c r="P115" s="15" t="str"/>
      <x:c r="Q115" s="8" t="str">
        <x:v>Washington University in St. Louis</x:v>
      </x:c>
      <x:c r="R115" s="8" t="str">
        <x:v>High</x:v>
      </x:c>
      <x:c r="S115" s="15" t="str">
        <x:v>Official Washington University profile lists John Heil as faculty; the Trinity affiliation is no longer current.</x:v>
      </x:c>
      <x:c r="T115" s="8" t="str"/>
      <x:c r="U115" s="8" t="str"/>
      <x:c r="V115" s="15" t="str"/>
      <x:c r="W115" s="8" t="str">
        <x:v>https://artsci.washu.edu/faculty-staff/john-heil-faha</x:v>
      </x:c>
      <x:c r="X115" s="8" t="str">
        <x:v>Institution</x:v>
      </x:c>
      <x:c r="Y115" s="17" t="str">
        <x:v>Proposed change</x:v>
      </x:c>
      <x:c r="Z115" s="20" t="str"/>
      <x:c r="AA115" s="21" t="str">
        <x:v>Institution proposal updated from Trinity University to Washington University in St. Louis.</x:v>
      </x:c>
    </x:row>
    <x:row r="116">
      <x:c r="A116" s="8" t="str">
        <x:v>SAGP000021</x:v>
      </x:c>
      <x:c r="B116" s="8" t="str">
        <x:v>John Lenz</x:v>
      </x:c>
      <x:c r="C116" s="8" t="str">
        <x:v>John</x:v>
      </x:c>
      <x:c r="D116" s="8" t="str">
        <x:v>Lenz</x:v>
      </x:c>
      <x:c r="E116" s="8" t="str">
        <x:v>jlenz@drew.edu</x:v>
      </x:c>
      <x:c r="F116" s="8" t="str">
        <x:v>drew.edu</x:v>
      </x:c>
      <x:c r="G116" s="8" t="str"/>
      <x:c r="H116" s="8" t="str"/>
      <x:c r="I116" s="8" t="str">
        <x:v>US</x:v>
      </x:c>
      <x:c r="J116" s="8" t="str">
        <x:v>NJ</x:v>
      </x:c>
      <x:c r="K116" s="14" t="n">
        <x:v>2025</x:v>
      </x:c>
      <x:c r="L116" s="8" t="str">
        <x:v>John Lenz</x:v>
      </x:c>
      <x:c r="M116" s="8" t="str">
        <x:v>John</x:v>
      </x:c>
      <x:c r="N116" s="8" t="str">
        <x:v>Lenz</x:v>
      </x:c>
      <x:c r="O116" s="8" t="str"/>
      <x:c r="P116" s="15" t="str"/>
      <x:c r="Q116" s="8" t="str">
        <x:v>Drew University</x:v>
      </x:c>
      <x:c r="R116" s="8" t="str">
        <x:v>High</x:v>
      </x:c>
      <x:c r="S116" s="15" t="str">
        <x:v>Official Drew University faculty page lists John Lenz as Associate Professor of Classics.</x:v>
      </x:c>
      <x:c r="T116" s="8" t="str">
        <x:v>USA Eastern</x:v>
      </x:c>
      <x:c r="U116" s="8" t="str">
        <x:v>High</x:v>
      </x:c>
      <x:c r="V116" s="15" t="str">
        <x:v>Existing country and state</x:v>
      </x:c>
      <x:c r="W116" s="8" t="str">
        <x:v>https://drew.edu/academic/caspersen-school-of-graduate-studies/our-faculty-inspiring-leaders/faculty-by-program/</x:v>
      </x:c>
      <x:c r="X116" s="8" t="str">
        <x:v>Institution, Region</x:v>
      </x:c>
      <x:c r="Y116" s="17" t="str">
        <x:v>Proposed change</x:v>
      </x:c>
      <x:c r="Z116" s="20" t="str"/>
      <x:c r="AA116" s="21" t="str"/>
    </x:row>
    <x:row r="117">
      <x:c r="A117" s="8" t="str">
        <x:v>SAGP001072</x:v>
      </x:c>
      <x:c r="B117" s="8" t="str">
        <x:v>John Malcolm</x:v>
      </x:c>
      <x:c r="C117" s="8" t="str">
        <x:v>John</x:v>
      </x:c>
      <x:c r="D117" s="8" t="str">
        <x:v>Malcolm</x:v>
      </x:c>
      <x:c r="E117" s="8" t="str">
        <x:v>jfmalcolm@ucdavis.edu</x:v>
      </x:c>
      <x:c r="F117" s="8" t="str">
        <x:v>ucdavis.edu</x:v>
      </x:c>
      <x:c r="G117" s="8" t="str"/>
      <x:c r="H117" s="8" t="str"/>
      <x:c r="I117" s="8" t="str"/>
      <x:c r="J117" s="8" t="str"/>
      <x:c r="K117" s="14" t="n">
        <x:v>2025</x:v>
      </x:c>
      <x:c r="L117" s="8" t="str">
        <x:v>John Malcolm</x:v>
      </x:c>
      <x:c r="M117" s="8" t="str">
        <x:v>John</x:v>
      </x:c>
      <x:c r="N117" s="8" t="str">
        <x:v>Malcolm</x:v>
      </x:c>
      <x:c r="O117" s="8" t="str"/>
      <x:c r="P117" s="15" t="str"/>
      <x:c r="Q117" s="8" t="str">
        <x:v>University of California, Davis</x:v>
      </x:c>
      <x:c r="R117" s="8" t="str">
        <x:v>High</x:v>
      </x:c>
      <x:c r="S117" s="15" t="str">
        <x:v>Official UC Davis memorial page identifies John F. Malcolm as professor emeritus and states that he died in 2023.</x:v>
      </x:c>
      <x:c r="T117" s="8" t="str"/>
      <x:c r="U117" s="8" t="str"/>
      <x:c r="V117" s="15" t="str"/>
      <x:c r="W117" s="8" t="str">
        <x:v>https://philosophy.ucdavis.edu/people/john-malcolm</x:v>
      </x:c>
      <x:c r="X117" s="8" t="str">
        <x:v>Institution</x:v>
      </x:c>
      <x:c r="Y117" s="19" t="str">
        <x:v>Needs research</x:v>
      </x:c>
      <x:c r="Z117" s="20" t="str"/>
      <x:c r="AA117" s="21" t="str">
        <x:v>IMPORTANT: University source says John Malcolm died September 10, 2023; review why this appears among current paid members.</x:v>
      </x:c>
    </x:row>
    <x:row r="118">
      <x:c r="A118" s="8" t="str">
        <x:v>SAGP001083</x:v>
      </x:c>
      <x:c r="B118" s="8" t="str">
        <x:v>John Mouracade</x:v>
      </x:c>
      <x:c r="C118" s="8" t="str">
        <x:v>John</x:v>
      </x:c>
      <x:c r="D118" s="8" t="str">
        <x:v>Mouracade</x:v>
      </x:c>
      <x:c r="E118" s="8" t="str">
        <x:v>afjmm2@uaa.alaska.edu</x:v>
      </x:c>
      <x:c r="F118" s="8" t="str">
        <x:v>uaa.alaska.edu</x:v>
      </x:c>
      <x:c r="G118" s="8" t="str"/>
      <x:c r="H118" s="8" t="str"/>
      <x:c r="I118" s="8" t="str"/>
      <x:c r="J118" s="8" t="str">
        <x:v>Anchorage Alaska</x:v>
      </x:c>
      <x:c r="K118" s="14" t="n">
        <x:v>2029</x:v>
      </x:c>
      <x:c r="L118" s="8" t="str">
        <x:v>John Mouracade</x:v>
      </x:c>
      <x:c r="M118" s="8" t="str">
        <x:v>John</x:v>
      </x:c>
      <x:c r="N118" s="8" t="str">
        <x:v>Mouracade</x:v>
      </x:c>
      <x:c r="O118" s="8" t="str"/>
      <x:c r="P118" s="15" t="str"/>
      <x:c r="Q118" s="8" t="str">
        <x:v>University of Alaska Anchorage</x:v>
      </x:c>
      <x:c r="R118" s="8" t="str">
        <x:v>High</x:v>
      </x:c>
      <x:c r="S118" s="15" t="str">
        <x:v>Official University of Alaska Anchorage faculty page lists John Mouracade.</x:v>
      </x:c>
      <x:c r="T118" s="8" t="str"/>
      <x:c r="U118" s="8" t="str"/>
      <x:c r="V118" s="15" t="str"/>
      <x:c r="W118" s="8" t="str">
        <x:v>https://www.uaa.alaska.edu/academics/college-of-arts-and-sciences/departments/philosophy/faculty/index.cshtml</x:v>
      </x:c>
      <x:c r="X118" s="8" t="str">
        <x:v>Institution</x:v>
      </x:c>
      <x:c r="Y118" s="19" t="str">
        <x:v>Needs research</x:v>
      </x:c>
      <x:c r="Z118" s="20" t="str"/>
      <x:c r="AA118" s="21" t="str">
        <x:v>Official page currently uses jmmouracade@alaska.edu; member record uses afjmm2@uaa.alaska.edu.</x:v>
      </x:c>
    </x:row>
    <x:row r="119">
      <x:c r="A119" s="8" t="str">
        <x:v>SAGP000331</x:v>
      </x:c>
      <x:c r="B119" s="8" t="str">
        <x:v>John Mulhern</x:v>
      </x:c>
      <x:c r="C119" s="8" t="str">
        <x:v>John</x:v>
      </x:c>
      <x:c r="D119" s="8" t="str">
        <x:v>Mulhern</x:v>
      </x:c>
      <x:c r="E119" s="8" t="str">
        <x:v>johnjm11@verizon.net</x:v>
      </x:c>
      <x:c r="F119" s="8" t="str">
        <x:v>verizon.net</x:v>
      </x:c>
      <x:c r="G119" s="8" t="str"/>
      <x:c r="H119" s="8" t="str"/>
      <x:c r="I119" s="8" t="str">
        <x:v>US</x:v>
      </x:c>
      <x:c r="J119" s="8" t="str">
        <x:v>PA</x:v>
      </x:c>
      <x:c r="K119" s="14" t="n">
        <x:v>2025</x:v>
      </x:c>
      <x:c r="L119" s="8" t="str">
        <x:v>John Mulhern</x:v>
      </x:c>
      <x:c r="M119" s="8" t="str">
        <x:v>John</x:v>
      </x:c>
      <x:c r="N119" s="8" t="str">
        <x:v>Mulhern</x:v>
      </x:c>
      <x:c r="O119" s="8" t="str"/>
      <x:c r="P119" s="15" t="str"/>
      <x:c r="Q119" s="8" t="str"/>
      <x:c r="R119" s="8" t="str"/>
      <x:c r="S119" s="15" t="str"/>
      <x:c r="T119" s="8" t="str">
        <x:v>USA Eastern</x:v>
      </x:c>
      <x:c r="U119" s="8" t="str">
        <x:v>High</x:v>
      </x:c>
      <x:c r="V119" s="15" t="str">
        <x:v>Existing country and state</x:v>
      </x:c>
      <x:c r="W119" s="8" t="str"/>
      <x:c r="X119" s="8" t="str">
        <x:v>Region</x:v>
      </x:c>
      <x:c r="Y119" s="17" t="str">
        <x:v>Proposed change</x:v>
      </x:c>
      <x:c r="Z119" s="20" t="str"/>
      <x:c r="AA119" s="21" t="str"/>
    </x:row>
    <x:row r="120">
      <x:c r="A120" s="8" t="str">
        <x:v>SAGP000388</x:v>
      </x:c>
      <x:c r="B120" s="8" t="str">
        <x:v>Jonathan Buttaci</x:v>
      </x:c>
      <x:c r="C120" s="8" t="str">
        <x:v>Jonathan</x:v>
      </x:c>
      <x:c r="D120" s="8" t="str">
        <x:v>Buttaci</x:v>
      </x:c>
      <x:c r="E120" s="8" t="str">
        <x:v>buttaci@cua.edu</x:v>
      </x:c>
      <x:c r="F120" s="8" t="str">
        <x:v>cua.edu</x:v>
      </x:c>
      <x:c r="G120" s="8" t="str"/>
      <x:c r="H120" s="8" t="str"/>
      <x:c r="I120" s="8" t="str">
        <x:v>US</x:v>
      </x:c>
      <x:c r="J120" s="8" t="str">
        <x:v>MD</x:v>
      </x:c>
      <x:c r="K120" s="14" t="n">
        <x:v>2026</x:v>
      </x:c>
      <x:c r="L120" s="8" t="str">
        <x:v>Jonathan Buttaci</x:v>
      </x:c>
      <x:c r="M120" s="8" t="str">
        <x:v>Jonathan</x:v>
      </x:c>
      <x:c r="N120" s="8" t="str">
        <x:v>Buttaci</x:v>
      </x:c>
      <x:c r="O120" s="8" t="str"/>
      <x:c r="P120" s="15" t="str"/>
      <x:c r="Q120" s="8" t="str">
        <x:v>The Catholic University of America</x:v>
      </x:c>
      <x:c r="R120" s="8" t="str">
        <x:v>High</x:v>
      </x:c>
      <x:c r="S120" s="15" t="str">
        <x:v>Official Catholic University profile lists Jonathan Buttaci as Associate Professor in the School of Philosophy.</x:v>
      </x:c>
      <x:c r="T120" s="8" t="str">
        <x:v>USA Eastern</x:v>
      </x:c>
      <x:c r="U120" s="8" t="str">
        <x:v>High</x:v>
      </x:c>
      <x:c r="V120" s="15" t="str">
        <x:v>Existing country and state</x:v>
      </x:c>
      <x:c r="W120" s="8" t="str">
        <x:v>https://philosophy.catholic.edu/faculty-and-research/faculty-profiles/buttaci-jonathan/index.html</x:v>
      </x:c>
      <x:c r="X120" s="8" t="str">
        <x:v>Institution, Region</x:v>
      </x:c>
      <x:c r="Y120" s="17" t="str">
        <x:v>Proposed change</x:v>
      </x:c>
      <x:c r="Z120" s="20" t="str"/>
      <x:c r="AA120" s="21" t="str"/>
    </x:row>
    <x:row r="121">
      <x:c r="A121" s="8" t="str">
        <x:v>SAGP001050</x:v>
      </x:c>
      <x:c r="B121" s="8" t="str">
        <x:v>Jonathan Hecht</x:v>
      </x:c>
      <x:c r="C121" s="8" t="str">
        <x:v>Jonathan</x:v>
      </x:c>
      <x:c r="D121" s="8" t="str">
        <x:v>Hecht</x:v>
      </x:c>
      <x:c r="E121" s="8" t="str">
        <x:v>akratic399@gmail.com</x:v>
      </x:c>
      <x:c r="F121" s="8" t="str">
        <x:v>gmail.com</x:v>
      </x:c>
      <x:c r="G121" s="8" t="str"/>
      <x:c r="H121" s="8" t="str"/>
      <x:c r="I121" s="8" t="str"/>
      <x:c r="J121" s="8" t="str">
        <x:v>CA</x:v>
      </x:c>
      <x:c r="K121" s="14" t="n">
        <x:v>2027</x:v>
      </x:c>
      <x:c r="L121" s="8" t="str">
        <x:v>Jonathan Hecht</x:v>
      </x:c>
      <x:c r="M121" s="8" t="str">
        <x:v>Jonathan</x:v>
      </x:c>
      <x:c r="N121" s="8" t="str">
        <x:v>Hecht</x:v>
      </x:c>
      <x:c r="O121" s="8" t="str"/>
      <x:c r="P121" s="15" t="str"/>
      <x:c r="Q121" s="8" t="str"/>
      <x:c r="R121" s="8" t="str"/>
      <x:c r="S121" s="15" t="str"/>
      <x:c r="T121" s="8" t="str"/>
      <x:c r="U121" s="8" t="str"/>
      <x:c r="V121" s="15" t="str"/>
      <x:c r="W121" s="8" t="str"/>
      <x:c r="X121" s="8" t="str"/>
      <x:c r="Y121" s="19" t="str">
        <x:v>Needs research</x:v>
      </x:c>
      <x:c r="Z121" s="20" t="str"/>
      <x:c r="AA121" s="21" t="str"/>
    </x:row>
    <x:row r="122">
      <x:c r="A122" s="8" t="str">
        <x:v>SAGP001460</x:v>
      </x:c>
      <x:c r="B122" s="8" t="str">
        <x:v>Joseph Draper</x:v>
      </x:c>
      <x:c r="C122" s="8" t="str">
        <x:v>Joseph</x:v>
      </x:c>
      <x:c r="D122" s="8" t="str">
        <x:v>Draper</x:v>
      </x:c>
      <x:c r="E122" s="8" t="str">
        <x:v>joseph.draper@regiscollege.edu</x:v>
      </x:c>
      <x:c r="F122" s="8" t="str">
        <x:v>regiscollege.edu</x:v>
      </x:c>
      <x:c r="G122" s="8" t="str"/>
      <x:c r="H122" s="8" t="str"/>
      <x:c r="I122" s="8" t="str"/>
      <x:c r="J122" s="8" t="str"/>
      <x:c r="K122" s="14" t="n">
        <x:v>2026</x:v>
      </x:c>
      <x:c r="L122" s="8" t="str">
        <x:v>Joseph Draper</x:v>
      </x:c>
      <x:c r="M122" s="8" t="str">
        <x:v>Joseph</x:v>
      </x:c>
      <x:c r="N122" s="8" t="str">
        <x:v>Draper</x:v>
      </x:c>
      <x:c r="O122" s="8" t="str"/>
      <x:c r="P122" s="15" t="str"/>
      <x:c r="Q122" s="8" t="str">
        <x:v>Regis College</x:v>
      </x:c>
      <x:c r="R122" s="8" t="str">
        <x:v>High</x:v>
      </x:c>
      <x:c r="S122" s="15" t="str">
        <x:v>Official Regis College page lists Joseph P. Draper as Dean of Arts and Sciences.</x:v>
      </x:c>
      <x:c r="T122" s="8" t="str"/>
      <x:c r="U122" s="8" t="str"/>
      <x:c r="V122" s="15" t="str"/>
      <x:c r="W122" s="8" t="str">
        <x:v>https://www.regiscollege.edu/about-regis/communications/experts-list</x:v>
      </x:c>
      <x:c r="X122" s="8" t="str">
        <x:v>Institution</x:v>
      </x:c>
      <x:c r="Y122" s="17" t="str">
        <x:v>Proposed change</x:v>
      </x:c>
      <x:c r="Z122" s="20" t="str"/>
      <x:c r="AA122" s="21" t="str"/>
    </x:row>
    <x:row r="123">
      <x:c r="A123" s="8" t="str">
        <x:v>SAGP001820</x:v>
      </x:c>
      <x:c r="B123" s="8" t="str">
        <x:v>Josiah Ducharme</x:v>
      </x:c>
      <x:c r="C123" s="8" t="str">
        <x:v>Josiah</x:v>
      </x:c>
      <x:c r="D123" s="8" t="str">
        <x:v>Ducharme</x:v>
      </x:c>
      <x:c r="E123" s="8" t="str">
        <x:v>josiah@palmettofamily.org</x:v>
      </x:c>
      <x:c r="F123" s="8" t="str">
        <x:v>palmettofamily.org</x:v>
      </x:c>
      <x:c r="G123" s="8" t="str"/>
      <x:c r="H123" s="8" t="str">
        <x:v>Eastern</x:v>
      </x:c>
      <x:c r="I123" s="8" t="str"/>
      <x:c r="J123" s="8" t="str"/>
      <x:c r="K123" s="14" t="n">
        <x:v>2027</x:v>
      </x:c>
      <x:c r="L123" s="8" t="str">
        <x:v>Josiah Ducharme</x:v>
      </x:c>
      <x:c r="M123" s="8" t="str">
        <x:v>Josiah</x:v>
      </x:c>
      <x:c r="N123" s="8" t="str">
        <x:v>Ducharme</x:v>
      </x:c>
      <x:c r="O123" s="8" t="str"/>
      <x:c r="P123" s="15" t="str"/>
      <x:c r="Q123" s="8" t="str"/>
      <x:c r="R123" s="8" t="str"/>
      <x:c r="S123" s="15" t="str"/>
      <x:c r="T123" s="8" t="str">
        <x:v>Eastern</x:v>
      </x:c>
      <x:c r="U123" s="8" t="str">
        <x:v>Existing</x:v>
      </x:c>
      <x:c r="V123" s="15" t="str">
        <x:v>Existing database value</x:v>
      </x:c>
      <x:c r="W123" s="8" t="str"/>
      <x:c r="X123" s="8" t="str"/>
      <x:c r="Y123" s="19" t="str">
        <x:v>Needs research</x:v>
      </x:c>
      <x:c r="Z123" s="20" t="str"/>
      <x:c r="AA123" s="21" t="str"/>
    </x:row>
    <x:row r="124">
      <x:c r="A124" s="8" t="str">
        <x:v>SAGP000028</x:v>
      </x:c>
      <x:c r="B124" s="8" t="str">
        <x:v>Joyce Mullan</x:v>
      </x:c>
      <x:c r="C124" s="8" t="str">
        <x:v>Joyce</x:v>
      </x:c>
      <x:c r="D124" s="8" t="str">
        <x:v>Mullan</x:v>
      </x:c>
      <x:c r="E124" s="8" t="str">
        <x:v>jmullan@stevens.edu</x:v>
      </x:c>
      <x:c r="F124" s="8" t="str">
        <x:v>stevens.edu</x:v>
      </x:c>
      <x:c r="G124" s="8" t="str">
        <x:v>Stevens Institute of Technology, Hoboken NJ</x:v>
      </x:c>
      <x:c r="H124" s="8" t="str"/>
      <x:c r="I124" s="8" t="str">
        <x:v>US</x:v>
      </x:c>
      <x:c r="J124" s="8" t="str">
        <x:v>NJ</x:v>
      </x:c>
      <x:c r="K124" s="14" t="n">
        <x:v>2027</x:v>
      </x:c>
      <x:c r="L124" s="8" t="str">
        <x:v>Joyce Mullan</x:v>
      </x:c>
      <x:c r="M124" s="8" t="str">
        <x:v>Joyce</x:v>
      </x:c>
      <x:c r="N124" s="8" t="str">
        <x:v>Mullan</x:v>
      </x:c>
      <x:c r="O124" s="8" t="str"/>
      <x:c r="P124" s="15" t="str"/>
      <x:c r="Q124" s="8" t="str">
        <x:v>Stevens Institute of Technology, Hoboken NJ</x:v>
      </x:c>
      <x:c r="R124" s="8" t="str">
        <x:v>Existing</x:v>
      </x:c>
      <x:c r="S124" s="15" t="str">
        <x:v>Existing database value</x:v>
      </x:c>
      <x:c r="T124" s="8" t="str">
        <x:v>USA Eastern</x:v>
      </x:c>
      <x:c r="U124" s="8" t="str">
        <x:v>High</x:v>
      </x:c>
      <x:c r="V124" s="15" t="str">
        <x:v>Existing country and state</x:v>
      </x:c>
      <x:c r="W124" s="8" t="str"/>
      <x:c r="X124" s="8" t="str">
        <x:v>Region</x:v>
      </x:c>
      <x:c r="Y124" s="17" t="str">
        <x:v>Proposed change</x:v>
      </x:c>
      <x:c r="Z124" s="20" t="str"/>
      <x:c r="AA124" s="21" t="str"/>
    </x:row>
    <x:row r="125">
      <x:c r="A125" s="8" t="str">
        <x:v>SAGP001089</x:v>
      </x:c>
      <x:c r="B125" s="8" t="str">
        <x:v>Justin Nordin</x:v>
      </x:c>
      <x:c r="C125" s="8" t="str">
        <x:v>Justin</x:v>
      </x:c>
      <x:c r="D125" s="8" t="str">
        <x:v>Nordin</x:v>
      </x:c>
      <x:c r="E125" s="8" t="str">
        <x:v>jpn144@gmail.com</x:v>
      </x:c>
      <x:c r="F125" s="8" t="str">
        <x:v>gmail.com</x:v>
      </x:c>
      <x:c r="G125" s="8" t="str"/>
      <x:c r="H125" s="8" t="str"/>
      <x:c r="I125" s="8" t="str"/>
      <x:c r="J125" s="8" t="str">
        <x:v>Los Angeles</x:v>
      </x:c>
      <x:c r="K125" s="14" t="n">
        <x:v>2025</x:v>
      </x:c>
      <x:c r="L125" s="8" t="str">
        <x:v>Justin Nordin</x:v>
      </x:c>
      <x:c r="M125" s="8" t="str">
        <x:v>Justin</x:v>
      </x:c>
      <x:c r="N125" s="8" t="str">
        <x:v>Nordin</x:v>
      </x:c>
      <x:c r="O125" s="8" t="str"/>
      <x:c r="P125" s="15" t="str"/>
      <x:c r="Q125" s="8" t="str"/>
      <x:c r="R125" s="8" t="str"/>
      <x:c r="S125" s="15" t="str"/>
      <x:c r="T125" s="8" t="str"/>
      <x:c r="U125" s="8" t="str"/>
      <x:c r="V125" s="15" t="str"/>
      <x:c r="W125" s="8" t="str"/>
      <x:c r="X125" s="8" t="str"/>
      <x:c r="Y125" s="19" t="str">
        <x:v>Needs research</x:v>
      </x:c>
      <x:c r="Z125" s="20" t="str"/>
      <x:c r="AA125" s="21" t="str"/>
    </x:row>
    <x:row r="126">
      <x:c r="A126" s="8" t="str">
        <x:v>SAGP000868</x:v>
      </x:c>
      <x:c r="B126" s="8" t="str">
        <x:v>Karl Aho</x:v>
      </x:c>
      <x:c r="C126" s="8" t="str">
        <x:v>Karl</x:v>
      </x:c>
      <x:c r="D126" s="8" t="str">
        <x:v>Aho</x:v>
      </x:c>
      <x:c r="E126" s="8" t="str">
        <x:v>kmf.aho@gmail.com</x:v>
      </x:c>
      <x:c r="F126" s="8" t="str">
        <x:v>gmail.com</x:v>
      </x:c>
      <x:c r="G126" s="8" t="str"/>
      <x:c r="H126" s="8" t="str"/>
      <x:c r="I126" s="8" t="str"/>
      <x:c r="J126" s="8" t="str"/>
      <x:c r="K126" s="14" t="n">
        <x:v>2025</x:v>
      </x:c>
      <x:c r="L126" s="8" t="str">
        <x:v>Karl Aho</x:v>
      </x:c>
      <x:c r="M126" s="8" t="str">
        <x:v>Karl</x:v>
      </x:c>
      <x:c r="N126" s="8" t="str">
        <x:v>Aho</x:v>
      </x:c>
      <x:c r="O126" s="8" t="str"/>
      <x:c r="P126" s="15" t="str"/>
      <x:c r="Q126" s="8" t="str"/>
      <x:c r="R126" s="8" t="str"/>
      <x:c r="S126" s="15" t="str"/>
      <x:c r="T126" s="8" t="str"/>
      <x:c r="U126" s="8" t="str"/>
      <x:c r="V126" s="15" t="str"/>
      <x:c r="W126" s="8" t="str"/>
      <x:c r="X126" s="8" t="str"/>
      <x:c r="Y126" s="19" t="str">
        <x:v>Needs research</x:v>
      </x:c>
      <x:c r="Z126" s="20" t="str"/>
      <x:c r="AA126" s="21" t="str"/>
    </x:row>
    <x:row r="127">
      <x:c r="A127" s="8" t="str">
        <x:v>SAGP001041</x:v>
      </x:c>
      <x:c r="B127" s="8" t="str">
        <x:v>Kerong Gao</x:v>
      </x:c>
      <x:c r="C127" s="8" t="str">
        <x:v>Kerong</x:v>
      </x:c>
      <x:c r="D127" s="8" t="str">
        <x:v>Gao</x:v>
      </x:c>
      <x:c r="E127" s="8" t="str">
        <x:v>keronggao@umail.ucsb.edu</x:v>
      </x:c>
      <x:c r="F127" s="8" t="str">
        <x:v>umail.ucsb.edu</x:v>
      </x:c>
      <x:c r="G127" s="8" t="str">
        <x:v>University of California Santa Barbara</x:v>
      </x:c>
      <x:c r="H127" s="8" t="str">
        <x:v>USA Western</x:v>
      </x:c>
      <x:c r="I127" s="8" t="str"/>
      <x:c r="J127" s="8" t="str"/>
      <x:c r="K127" s="14" t="n">
        <x:v>2027</x:v>
      </x:c>
      <x:c r="L127" s="8" t="str">
        <x:v>Kerong Gao</x:v>
      </x:c>
      <x:c r="M127" s="8" t="str">
        <x:v>Kerong</x:v>
      </x:c>
      <x:c r="N127" s="8" t="str">
        <x:v>Gao</x:v>
      </x:c>
      <x:c r="O127" s="8" t="str"/>
      <x:c r="P127" s="15" t="str"/>
      <x:c r="Q127" s="8" t="str">
        <x:v>University of California Santa Barbara</x:v>
      </x:c>
      <x:c r="R127" s="8" t="str">
        <x:v>Existing</x:v>
      </x:c>
      <x:c r="S127" s="15" t="str">
        <x:v>Existing database value</x:v>
      </x:c>
      <x:c r="T127" s="8" t="str">
        <x:v>USA Western</x:v>
      </x:c>
      <x:c r="U127" s="8" t="str">
        <x:v>Existing</x:v>
      </x:c>
      <x:c r="V127" s="15" t="str">
        <x:v>Existing database value</x:v>
      </x:c>
      <x:c r="W127" s="8" t="str"/>
      <x:c r="X127" s="8" t="str"/>
      <x:c r="Y127" s="8" t="str">
        <x:v>No change proposed</x:v>
      </x:c>
      <x:c r="Z127" s="20" t="str"/>
      <x:c r="AA127" s="21" t="str"/>
    </x:row>
    <x:row r="128">
      <x:c r="A128" s="8" t="str">
        <x:v>SAGP000851</x:v>
      </x:c>
      <x:c r="B128" s="8" t="str">
        <x:v>Kirk Sanders</x:v>
      </x:c>
      <x:c r="C128" s="8" t="str">
        <x:v>Kirk</x:v>
      </x:c>
      <x:c r="D128" s="8" t="str">
        <x:v>Sanders</x:v>
      </x:c>
      <x:c r="E128" s="8" t="str">
        <x:v>ksanders@illinois.edu</x:v>
      </x:c>
      <x:c r="F128" s="8" t="str">
        <x:v>illinois.edu</x:v>
      </x:c>
      <x:c r="G128" s="8" t="str"/>
      <x:c r="H128" s="8" t="str"/>
      <x:c r="I128" s="8" t="str"/>
      <x:c r="J128" s="8" t="str">
        <x:v>Ill</x:v>
      </x:c>
      <x:c r="K128" s="14" t="n">
        <x:v>2027</x:v>
      </x:c>
      <x:c r="L128" s="8" t="str">
        <x:v>Kirk Sanders</x:v>
      </x:c>
      <x:c r="M128" s="8" t="str">
        <x:v>Kirk</x:v>
      </x:c>
      <x:c r="N128" s="8" t="str">
        <x:v>Sanders</x:v>
      </x:c>
      <x:c r="O128" s="8" t="str"/>
      <x:c r="P128" s="15" t="str"/>
      <x:c r="Q128" s="8" t="str">
        <x:v>University of Illinois Urbana-Champaign</x:v>
      </x:c>
      <x:c r="R128" s="8" t="str">
        <x:v>High</x:v>
      </x:c>
      <x:c r="S128" s="15" t="str">
        <x:v>Official University of Illinois profile lists Kirk Sanders and the same email address.</x:v>
      </x:c>
      <x:c r="T128" s="8" t="str"/>
      <x:c r="U128" s="8" t="str"/>
      <x:c r="V128" s="15" t="str"/>
      <x:c r="W128" s="8" t="str">
        <x:v>https://philosophy.illinois.edu/directory/profile/ksanders</x:v>
      </x:c>
      <x:c r="X128" s="8" t="str">
        <x:v>Institution</x:v>
      </x:c>
      <x:c r="Y128" s="17" t="str">
        <x:v>Proposed change</x:v>
      </x:c>
      <x:c r="Z128" s="20" t="str"/>
      <x:c r="AA128" s="21" t="str"/>
    </x:row>
    <x:row r="129">
      <x:c r="A129" s="8" t="str">
        <x:v>SAGP000328</x:v>
      </x:c>
      <x:c r="B129" s="8" t="str">
        <x:v>Kris McLain</x:v>
      </x:c>
      <x:c r="C129" s="8" t="str">
        <x:v>Kris</x:v>
      </x:c>
      <x:c r="D129" s="8" t="str">
        <x:v>McLain</x:v>
      </x:c>
      <x:c r="E129" s="8" t="str">
        <x:v>kemclain@gmail.com</x:v>
      </x:c>
      <x:c r="F129" s="8" t="str">
        <x:v>gmail.com</x:v>
      </x:c>
      <x:c r="G129" s="8" t="str"/>
      <x:c r="H129" s="8" t="str"/>
      <x:c r="I129" s="8" t="str">
        <x:v>US</x:v>
      </x:c>
      <x:c r="J129" s="8" t="str">
        <x:v>WI</x:v>
      </x:c>
      <x:c r="K129" s="14" t="n">
        <x:v>2026</x:v>
      </x:c>
      <x:c r="L129" s="8" t="str">
        <x:v>Kris McLain</x:v>
      </x:c>
      <x:c r="M129" s="8" t="str">
        <x:v>Kris</x:v>
      </x:c>
      <x:c r="N129" s="8" t="str">
        <x:v>McLain</x:v>
      </x:c>
      <x:c r="O129" s="8" t="str"/>
      <x:c r="P129" s="15" t="str"/>
      <x:c r="Q129" s="8" t="str"/>
      <x:c r="R129" s="8" t="str"/>
      <x:c r="S129" s="15" t="str"/>
      <x:c r="T129" s="8" t="str">
        <x:v>USA Central</x:v>
      </x:c>
      <x:c r="U129" s="8" t="str">
        <x:v>High</x:v>
      </x:c>
      <x:c r="V129" s="15" t="str">
        <x:v>Existing country and state</x:v>
      </x:c>
      <x:c r="W129" s="8" t="str"/>
      <x:c r="X129" s="8" t="str">
        <x:v>Region</x:v>
      </x:c>
      <x:c r="Y129" s="17" t="str">
        <x:v>Proposed change</x:v>
      </x:c>
      <x:c r="Z129" s="20" t="str"/>
      <x:c r="AA129" s="21" t="str"/>
    </x:row>
    <x:row r="130">
      <x:c r="A130" s="8" t="str">
        <x:v>SAGP001247</x:v>
      </x:c>
      <x:c r="B130" s="8" t="str">
        <x:v>Kurihara Yuji</x:v>
      </x:c>
      <x:c r="C130" s="8" t="str">
        <x:v>Kurihara</x:v>
      </x:c>
      <x:c r="D130" s="8" t="str">
        <x:v>Yuji</x:v>
      </x:c>
      <x:c r="E130" s="8" t="str">
        <x:v>ykuri@tmu.ac.jp</x:v>
      </x:c>
      <x:c r="F130" s="8" t="str">
        <x:v>tmu.ac.jp</x:v>
      </x:c>
      <x:c r="G130" s="8" t="str">
        <x:v>Tokyo Metropolitan University</x:v>
      </x:c>
      <x:c r="H130" s="8" t="str"/>
      <x:c r="I130" s="8" t="str">
        <x:v>JP</x:v>
      </x:c>
      <x:c r="J130" s="8" t="str">
        <x:v>Kanagawa</x:v>
      </x:c>
      <x:c r="K130" s="14" t="n">
        <x:v>2025</x:v>
      </x:c>
      <x:c r="L130" s="8" t="str">
        <x:v>Kurihara Yuji</x:v>
      </x:c>
      <x:c r="M130" s="8" t="str">
        <x:v>Kurihara</x:v>
      </x:c>
      <x:c r="N130" s="8" t="str">
        <x:v>Yuji</x:v>
      </x:c>
      <x:c r="O130" s="8" t="str"/>
      <x:c r="P130" s="15" t="str"/>
      <x:c r="Q130" s="8" t="str">
        <x:v>Tokyo Metropolitan University</x:v>
      </x:c>
      <x:c r="R130" s="8" t="str">
        <x:v>Existing</x:v>
      </x:c>
      <x:c r="S130" s="15" t="str">
        <x:v>Existing database value</x:v>
      </x:c>
      <x:c r="T130" s="8" t="str">
        <x:v>East and Southeast Asia</x:v>
      </x:c>
      <x:c r="U130" s="8" t="str">
        <x:v>High</x:v>
      </x:c>
      <x:c r="V130" s="15" t="str">
        <x:v>Existing country</x:v>
      </x:c>
      <x:c r="W130" s="8" t="str"/>
      <x:c r="X130" s="8" t="str">
        <x:v>Region</x:v>
      </x:c>
      <x:c r="Y130" s="17" t="str">
        <x:v>Proposed change</x:v>
      </x:c>
      <x:c r="Z130" s="20" t="str"/>
      <x:c r="AA130" s="21" t="str"/>
    </x:row>
    <x:row r="131">
      <x:c r="A131" s="8" t="str">
        <x:v>SAGP001574</x:v>
      </x:c>
      <x:c r="B131" s="8" t="str">
        <x:v>Laks André</x:v>
      </x:c>
      <x:c r="C131" s="8" t="str">
        <x:v>Laks</x:v>
      </x:c>
      <x:c r="D131" s="8" t="str">
        <x:v>André</x:v>
      </x:c>
      <x:c r="E131" s="8" t="str">
        <x:v>laks.andre@gmail.com</x:v>
      </x:c>
      <x:c r="F131" s="8" t="str">
        <x:v>gmail.com</x:v>
      </x:c>
      <x:c r="G131" s="8" t="str">
        <x:v>Universidad Panamericana Mexico City</x:v>
      </x:c>
      <x:c r="H131" s="8" t="str"/>
      <x:c r="I131" s="8" t="str"/>
      <x:c r="J131" s="8" t="str"/>
      <x:c r="K131" s="14" t="n">
        <x:v>2025</x:v>
      </x:c>
      <x:c r="L131" s="8" t="str">
        <x:v>Laks André</x:v>
      </x:c>
      <x:c r="M131" s="8" t="str">
        <x:v>Laks</x:v>
      </x:c>
      <x:c r="N131" s="8" t="str">
        <x:v>André</x:v>
      </x:c>
      <x:c r="O131" s="8" t="str"/>
      <x:c r="P131" s="15" t="str"/>
      <x:c r="Q131" s="8" t="str">
        <x:v>Universidad Panamericana Mexico City</x:v>
      </x:c>
      <x:c r="R131" s="8" t="str">
        <x:v>Existing</x:v>
      </x:c>
      <x:c r="S131" s="15" t="str">
        <x:v>Existing database value</x:v>
      </x:c>
      <x:c r="T131" s="8" t="str"/>
      <x:c r="U131" s="8" t="str"/>
      <x:c r="V131" s="15" t="str"/>
      <x:c r="W131" s="8" t="str"/>
      <x:c r="X131" s="8" t="str"/>
      <x:c r="Y131" s="19" t="str">
        <x:v>Needs research</x:v>
      </x:c>
      <x:c r="Z131" s="20" t="str"/>
      <x:c r="AA131" s="21" t="str"/>
    </x:row>
    <x:row r="132">
      <x:c r="A132" s="8" t="str">
        <x:v>SAGP000642</x:v>
      </x:c>
      <x:c r="B132" s="8" t="str">
        <x:v>Lawrence Jost</x:v>
      </x:c>
      <x:c r="C132" s="8" t="str">
        <x:v>Lawrence</x:v>
      </x:c>
      <x:c r="D132" s="8" t="str">
        <x:v>Jost</x:v>
      </x:c>
      <x:c r="E132" s="8" t="str">
        <x:v>jostlj@ucmail.uc.edu</x:v>
      </x:c>
      <x:c r="F132" s="8" t="str">
        <x:v>ucmail.uc.edu</x:v>
      </x:c>
      <x:c r="G132" s="8" t="str">
        <x:v>University of Cincinnati</x:v>
      </x:c>
      <x:c r="H132" s="8" t="str">
        <x:v>US Central</x:v>
      </x:c>
      <x:c r="I132" s="8" t="str">
        <x:v>US</x:v>
      </x:c>
      <x:c r="J132" s="8" t="str"/>
      <x:c r="K132" s="14" t="n">
        <x:v>2046</x:v>
      </x:c>
      <x:c r="L132" s="8" t="str">
        <x:v>Lawrence Jost</x:v>
      </x:c>
      <x:c r="M132" s="8" t="str">
        <x:v>Lawrence</x:v>
      </x:c>
      <x:c r="N132" s="8" t="str">
        <x:v>Jost</x:v>
      </x:c>
      <x:c r="O132" s="8" t="str"/>
      <x:c r="P132" s="15" t="str"/>
      <x:c r="Q132" s="8" t="str">
        <x:v>University of Cincinnati</x:v>
      </x:c>
      <x:c r="R132" s="8" t="str">
        <x:v>Existing</x:v>
      </x:c>
      <x:c r="S132" s="15" t="str">
        <x:v>Existing database value</x:v>
      </x:c>
      <x:c r="T132" s="8" t="str">
        <x:v>US Central</x:v>
      </x:c>
      <x:c r="U132" s="8" t="str">
        <x:v>Existing</x:v>
      </x:c>
      <x:c r="V132" s="15" t="str">
        <x:v>Existing database value</x:v>
      </x:c>
      <x:c r="W132" s="8" t="str"/>
      <x:c r="X132" s="8" t="str"/>
      <x:c r="Y132" s="8" t="str">
        <x:v>No change proposed</x:v>
      </x:c>
      <x:c r="Z132" s="20" t="str"/>
      <x:c r="AA132" s="21" t="str"/>
    </x:row>
    <x:row r="133">
      <x:c r="A133" s="8" t="str">
        <x:v>SAGP001248</x:v>
      </x:c>
      <x:c r="B133" s="8" t="str">
        <x:v>Lea Luke</x:v>
      </x:c>
      <x:c r="C133" s="8" t="str">
        <x:v>Lea</x:v>
      </x:c>
      <x:c r="D133" s="8" t="str">
        <x:v>Luke</x:v>
      </x:c>
      <x:c r="E133" s="8" t="str">
        <x:v>luke.lea@bilkent.edu.tr</x:v>
      </x:c>
      <x:c r="F133" s="8" t="str">
        <x:v>bilkent.edu.tr</x:v>
      </x:c>
      <x:c r="G133" s="8" t="str"/>
      <x:c r="H133" s="8" t="str"/>
      <x:c r="I133" s="8" t="str">
        <x:v>TR</x:v>
      </x:c>
      <x:c r="J133" s="8" t="str"/>
      <x:c r="K133" s="14" t="n">
        <x:v>2025</x:v>
      </x:c>
      <x:c r="L133" s="8" t="str">
        <x:v>Luke Lea</x:v>
      </x:c>
      <x:c r="M133" s="8" t="str">
        <x:v>Luke</x:v>
      </x:c>
      <x:c r="N133" s="8" t="str">
        <x:v>Lea</x:v>
      </x:c>
      <x:c r="O133" s="8" t="str">
        <x:v>High</x:v>
      </x:c>
      <x:c r="P133" s="15" t="str">
        <x:v>Email address pattern strongly supports given-name/surname reversal</x:v>
      </x:c>
      <x:c r="Q133" s="8" t="str">
        <x:v>Bilkent University</x:v>
      </x:c>
      <x:c r="R133" s="8" t="str">
        <x:v>High</x:v>
      </x:c>
      <x:c r="S133" s="15" t="str">
        <x:v>Official Bilkent catalog lists Luke Lea as Assistant Professor.</x:v>
      </x:c>
      <x:c r="T133" s="8" t="str">
        <x:v>Middle East and North Africa</x:v>
      </x:c>
      <x:c r="U133" s="8" t="str">
        <x:v>High</x:v>
      </x:c>
      <x:c r="V133" s="15" t="str">
        <x:v>Existing country</x:v>
      </x:c>
      <x:c r="W133" s="8" t="str">
        <x:v>https://catalog.bilkent.edu.tr/instructor/i14056.html</x:v>
      </x:c>
      <x:c r="X133" s="8" t="str">
        <x:v>Name, Institution, Region</x:v>
      </x:c>
      <x:c r="Y133" s="17" t="str">
        <x:v>Proposed change</x:v>
      </x:c>
      <x:c r="Z133" s="20" t="str"/>
      <x:c r="AA133" s="21" t="str"/>
    </x:row>
    <x:row r="134">
      <x:c r="A134" s="8" t="str">
        <x:v>SAGP000821</x:v>
      </x:c>
      <x:c r="B134" s="8" t="str">
        <x:v>Lear Gabrial Richardson</x:v>
      </x:c>
      <x:c r="C134" s="8" t="str">
        <x:v>Lear</x:v>
      </x:c>
      <x:c r="D134" s="8" t="str">
        <x:v>Richardson</x:v>
      </x:c>
      <x:c r="E134" s="8" t="str">
        <x:v>grlear@uchicago.edu</x:v>
      </x:c>
      <x:c r="F134" s="8" t="str">
        <x:v>uchicago.edu</x:v>
      </x:c>
      <x:c r="G134" s="8" t="str"/>
      <x:c r="H134" s="8" t="str"/>
      <x:c r="I134" s="8" t="str">
        <x:v>US</x:v>
      </x:c>
      <x:c r="J134" s="8" t="str">
        <x:v>IL</x:v>
      </x:c>
      <x:c r="K134" s="14" t="n">
        <x:v>2030</x:v>
      </x:c>
      <x:c r="L134" s="8" t="str">
        <x:v>Lear Gabrial Richardson</x:v>
      </x:c>
      <x:c r="M134" s="8" t="str">
        <x:v>Lear</x:v>
      </x:c>
      <x:c r="N134" s="8" t="str">
        <x:v>Richardson</x:v>
      </x:c>
      <x:c r="O134" s="8" t="str"/>
      <x:c r="P134" s="15" t="str"/>
      <x:c r="Q134" s="8" t="str">
        <x:v>University of Chicago</x:v>
      </x:c>
      <x:c r="R134" s="8" t="str">
        <x:v>High</x:v>
      </x:c>
      <x:c r="S134" s="15" t="str">
        <x:v>Official University of Chicago profile lists Gabriel Richardson Lear and the same email address.</x:v>
      </x:c>
      <x:c r="T134" s="8" t="str">
        <x:v>USA Central</x:v>
      </x:c>
      <x:c r="U134" s="8" t="str">
        <x:v>High</x:v>
      </x:c>
      <x:c r="V134" s="15" t="str">
        <x:v>Existing country and state</x:v>
      </x:c>
      <x:c r="W134" s="8" t="str">
        <x:v>https://socialthought.uchicago.edu/directory/gabriel-richardson-lear</x:v>
      </x:c>
      <x:c r="X134" s="8" t="str">
        <x:v>Institution, Region</x:v>
      </x:c>
      <x:c r="Y134" s="19" t="str">
        <x:v>Needs research</x:v>
      </x:c>
      <x:c r="Z134" s="20" t="str"/>
      <x:c r="AA134" s="21" t="str">
        <x:v>Member record spells given name 'Gabrial'; official profile spells it 'Gabriel'.</x:v>
      </x:c>
    </x:row>
    <x:row r="135">
      <x:c r="A135" s="8" t="str">
        <x:v>SAGP001034</x:v>
      </x:c>
      <x:c r="B135" s="8" t="str">
        <x:v>Lee Eunsoo</x:v>
      </x:c>
      <x:c r="C135" s="8" t="str">
        <x:v>Lee</x:v>
      </x:c>
      <x:c r="D135" s="8" t="str">
        <x:v>Eunsoo</x:v>
      </x:c>
      <x:c r="E135" s="8" t="str"/>
      <x:c r="F135" s="8" t="str"/>
      <x:c r="G135" s="8" t="str"/>
      <x:c r="H135" s="8" t="str"/>
      <x:c r="I135" s="8" t="str">
        <x:v>US</x:v>
      </x:c>
      <x:c r="J135" s="8" t="str">
        <x:v>CA</x:v>
      </x:c>
      <x:c r="K135" s="14" t="n">
        <x:v>2025</x:v>
      </x:c>
      <x:c r="L135" s="8" t="str">
        <x:v>Lee Eunsoo</x:v>
      </x:c>
      <x:c r="M135" s="8" t="str">
        <x:v>Lee</x:v>
      </x:c>
      <x:c r="N135" s="8" t="str">
        <x:v>Eunsoo</x:v>
      </x:c>
      <x:c r="O135" s="8" t="str"/>
      <x:c r="P135" s="15" t="str"/>
      <x:c r="Q135" s="8" t="str"/>
      <x:c r="R135" s="8" t="str"/>
      <x:c r="S135" s="15" t="str"/>
      <x:c r="T135" s="8" t="str">
        <x:v>USA Western</x:v>
      </x:c>
      <x:c r="U135" s="8" t="str">
        <x:v>High</x:v>
      </x:c>
      <x:c r="V135" s="15" t="str">
        <x:v>Existing country and state</x:v>
      </x:c>
      <x:c r="W135" s="8" t="str"/>
      <x:c r="X135" s="8" t="str">
        <x:v>Region</x:v>
      </x:c>
      <x:c r="Y135" s="17" t="str">
        <x:v>Proposed change</x:v>
      </x:c>
      <x:c r="Z135" s="20" t="str"/>
      <x:c r="AA135" s="21" t="str"/>
    </x:row>
    <x:row r="136">
      <x:c r="A136" s="8" t="str">
        <x:v>SAGP001249</x:v>
      </x:c>
      <x:c r="B136" s="8" t="str">
        <x:v>Lefka Aikaterini</x:v>
      </x:c>
      <x:c r="C136" s="8" t="str">
        <x:v>Lefka</x:v>
      </x:c>
      <x:c r="D136" s="8" t="str">
        <x:v>Aikaterini</x:v>
      </x:c>
      <x:c r="E136" s="8" t="str">
        <x:v>Aikaterini.Lefka@gmail.com</x:v>
      </x:c>
      <x:c r="F136" s="8" t="str">
        <x:v>gmail.com</x:v>
      </x:c>
      <x:c r="G136" s="8" t="str"/>
      <x:c r="H136" s="8" t="str"/>
      <x:c r="I136" s="8" t="str">
        <x:v>BE</x:v>
      </x:c>
      <x:c r="J136" s="8" t="str"/>
      <x:c r="K136" s="14" t="n">
        <x:v>2025</x:v>
      </x:c>
      <x:c r="L136" s="8" t="str">
        <x:v>Aikaterini Lefka</x:v>
      </x:c>
      <x:c r="M136" s="8" t="str">
        <x:v>Aikaterini</x:v>
      </x:c>
      <x:c r="N136" s="8" t="str">
        <x:v>Lefka</x:v>
      </x:c>
      <x:c r="O136" s="8" t="str">
        <x:v>High</x:v>
      </x:c>
      <x:c r="P136" s="15" t="str">
        <x:v>Email address pattern strongly supports given-name/surname reversal</x:v>
      </x:c>
      <x:c r="Q136" s="8" t="str"/>
      <x:c r="R136" s="8" t="str"/>
      <x:c r="S136" s="15" t="str"/>
      <x:c r="T136" s="8" t="str">
        <x:v>Europe</x:v>
      </x:c>
      <x:c r="U136" s="8" t="str">
        <x:v>High</x:v>
      </x:c>
      <x:c r="V136" s="15" t="str">
        <x:v>Existing country</x:v>
      </x:c>
      <x:c r="W136" s="8" t="str"/>
      <x:c r="X136" s="8" t="str">
        <x:v>Name, Region</x:v>
      </x:c>
      <x:c r="Y136" s="17" t="str">
        <x:v>Proposed change</x:v>
      </x:c>
      <x:c r="Z136" s="20" t="str"/>
      <x:c r="AA136" s="21" t="str"/>
    </x:row>
    <x:row r="137">
      <x:c r="A137" s="8" t="str">
        <x:v>SAGP000443</x:v>
      </x:c>
      <x:c r="B137" s="8" t="str">
        <x:v>Li Daryl Z</x:v>
      </x:c>
      <x:c r="C137" s="8" t="str">
        <x:v>Li</x:v>
      </x:c>
      <x:c r="D137" s="8" t="str">
        <x:v>Z</x:v>
      </x:c>
      <x:c r="E137" s="8" t="str">
        <x:v>lid@cua.edu</x:v>
      </x:c>
      <x:c r="F137" s="8" t="str">
        <x:v>cua.edu</x:v>
      </x:c>
      <x:c r="G137" s="8" t="str"/>
      <x:c r="H137" s="8" t="str"/>
      <x:c r="I137" s="8" t="str"/>
      <x:c r="J137" s="8" t="str"/>
      <x:c r="K137" s="14" t="n">
        <x:v>2025</x:v>
      </x:c>
      <x:c r="L137" s="8" t="str">
        <x:v>Li Daryl Z</x:v>
      </x:c>
      <x:c r="M137" s="8" t="str">
        <x:v>Li</x:v>
      </x:c>
      <x:c r="N137" s="8" t="str">
        <x:v>Z</x:v>
      </x:c>
      <x:c r="O137" s="8" t="str"/>
      <x:c r="P137" s="15" t="str"/>
      <x:c r="Q137" s="8" t="str">
        <x:v>The Catholic University of America</x:v>
      </x:c>
      <x:c r="R137" s="8" t="str">
        <x:v>Medium</x:v>
      </x:c>
      <x:c r="S137" s="15" t="str">
        <x:v>Current scholarly profiles identify Daryl Li as a Catholic University postdoctoral scholar who completed the PhD in 2026, but he is not listed on the current official faculty page.</x:v>
      </x:c>
      <x:c r="T137" s="8" t="str"/>
      <x:c r="U137" s="8" t="str"/>
      <x:c r="V137" s="15" t="str"/>
      <x:c r="W137" s="8" t="str">
        <x:v>https://cua.academia.edu/DarylLi</x:v>
      </x:c>
      <x:c r="X137" s="8" t="str">
        <x:v>Institution</x:v>
      </x:c>
      <x:c r="Y137" s="19" t="str">
        <x:v>Needs research</x:v>
      </x:c>
      <x:c r="Z137" s="20" t="str"/>
      <x:c r="AA137" s="21" t="str">
        <x:v>CUA affiliation is plausible and recent, but the exact current appointment needs official confirmation.</x:v>
      </x:c>
    </x:row>
    <x:row r="138">
      <x:c r="A138" s="8" t="str">
        <x:v>SAGP000022</x:v>
      </x:c>
      <x:c r="B138" s="8" t="str">
        <x:v>Linqi Zhou</x:v>
      </x:c>
      <x:c r="C138" s="8" t="str">
        <x:v>Linqi</x:v>
      </x:c>
      <x:c r="D138" s="8" t="str">
        <x:v>Zhou</x:v>
      </x:c>
      <x:c r="E138" s="8" t="str">
        <x:v>linqi.zhou@hunter.cuny.edu</x:v>
      </x:c>
      <x:c r="F138" s="8" t="str">
        <x:v>hunter.cuny.edu</x:v>
      </x:c>
      <x:c r="G138" s="8" t="str"/>
      <x:c r="H138" s="8" t="str"/>
      <x:c r="I138" s="8" t="str"/>
      <x:c r="J138" s="8" t="str"/>
      <x:c r="K138" s="14" t="n">
        <x:v>2027</x:v>
      </x:c>
      <x:c r="L138" s="8" t="str">
        <x:v>Linqi Zhou</x:v>
      </x:c>
      <x:c r="M138" s="8" t="str">
        <x:v>Linqi</x:v>
      </x:c>
      <x:c r="N138" s="8" t="str">
        <x:v>Zhou</x:v>
      </x:c>
      <x:c r="O138" s="8" t="str"/>
      <x:c r="P138" s="15" t="str"/>
      <x:c r="Q138" s="8" t="str">
        <x:v>Hunter College, CUNY</x:v>
      </x:c>
      <x:c r="R138" s="8" t="str">
        <x:v>High</x:v>
      </x:c>
      <x:c r="S138" s="15" t="str">
        <x:v>Official Hunter College Philosophy campaign page lists Linqi Zhou as faculty/staff.</x:v>
      </x:c>
      <x:c r="T138" s="8" t="str"/>
      <x:c r="U138" s="8" t="str"/>
      <x:c r="V138" s="15" t="str"/>
      <x:c r="W138" s="8" t="str">
        <x:v>https://giving.hunter.cuny.edu/schools/4419/hunter-college-giving-day-2026/pages/philosophy/tiered_campaign_donors.html?show=employee&amp;type=affil</x:v>
      </x:c>
      <x:c r="X138" s="8" t="str">
        <x:v>Institution</x:v>
      </x:c>
      <x:c r="Y138" s="17" t="str">
        <x:v>Proposed change</x:v>
      </x:c>
      <x:c r="Z138" s="20" t="str"/>
      <x:c r="AA138" s="21" t="str"/>
    </x:row>
    <x:row r="139">
      <x:c r="A139" s="8" t="str">
        <x:v>SAGP001251</x:v>
      </x:c>
      <x:c r="B139" s="8" t="str">
        <x:v>Lloyd G.E.R.</x:v>
      </x:c>
      <x:c r="C139" s="8" t="str">
        <x:v>Lloyd</x:v>
      </x:c>
      <x:c r="D139" s="8" t="str">
        <x:v>G.E.R.</x:v>
      </x:c>
      <x:c r="E139" s="8" t="str">
        <x:v>gel20@cam.ac.uk</x:v>
      </x:c>
      <x:c r="F139" s="8" t="str">
        <x:v>cam.ac.uk</x:v>
      </x:c>
      <x:c r="G139" s="8" t="str"/>
      <x:c r="H139" s="8" t="str"/>
      <x:c r="I139" s="8" t="str">
        <x:v>GB</x:v>
      </x:c>
      <x:c r="J139" s="8" t="str"/>
      <x:c r="K139" s="14" t="n">
        <x:v>2026</x:v>
      </x:c>
      <x:c r="L139" s="8" t="str">
        <x:v>Lloyd G.E.R.</x:v>
      </x:c>
      <x:c r="M139" s="8" t="str">
        <x:v>Lloyd</x:v>
      </x:c>
      <x:c r="N139" s="8" t="str">
        <x:v>G.E.R.</x:v>
      </x:c>
      <x:c r="O139" s="8" t="str"/>
      <x:c r="P139" s="15" t="str"/>
      <x:c r="Q139" s="8" t="str">
        <x:v>University of Cambridge</x:v>
      </x:c>
      <x:c r="R139" s="8" t="str">
        <x:v>High</x:v>
      </x:c>
      <x:c r="S139" s="15" t="str">
        <x:v>The current official Cambridge Faculty of Classics profile lists Sir Geoffrey Lloyd as Emeritus Professor of Ancient Philosophy and Science.</x:v>
      </x:c>
      <x:c r="T139" s="8" t="str">
        <x:v>Europe</x:v>
      </x:c>
      <x:c r="U139" s="8" t="str">
        <x:v>High</x:v>
      </x:c>
      <x:c r="V139" s="15" t="str">
        <x:v>Existing country</x:v>
      </x:c>
      <x:c r="W139" s="8" t="str">
        <x:v>https://www.classics.cam.ac.uk/people/professor-sir-geoffrey-lloyd</x:v>
      </x:c>
      <x:c r="X139" s="8" t="str">
        <x:v>Institution, Region</x:v>
      </x:c>
      <x:c r="Y139" s="17" t="str">
        <x:v>Proposed change</x:v>
      </x:c>
      <x:c r="Z139" s="20" t="str"/>
      <x:c r="AA139" s="21" t="str">
        <x:v>Confirmed current emeritus affiliation.</x:v>
      </x:c>
    </x:row>
    <x:row r="140">
      <x:c r="A140" s="8" t="str">
        <x:v>SAGP000227</x:v>
      </x:c>
      <x:c r="B140" s="8" t="str">
        <x:v>Long Duane</x:v>
      </x:c>
      <x:c r="C140" s="8" t="str">
        <x:v>Long</x:v>
      </x:c>
      <x:c r="D140" s="8" t="str">
        <x:v>Duane</x:v>
      </x:c>
      <x:c r="E140" s="8" t="str">
        <x:v>hdlong@buffalo.edu</x:v>
      </x:c>
      <x:c r="F140" s="8" t="str">
        <x:v>buffalo.edu</x:v>
      </x:c>
      <x:c r="G140" s="8" t="str">
        <x:v>SUNY Buffalo, Iowa State</x:v>
      </x:c>
      <x:c r="H140" s="8" t="str"/>
      <x:c r="I140" s="8" t="str">
        <x:v>US</x:v>
      </x:c>
      <x:c r="J140" s="8" t="str">
        <x:v>IA</x:v>
      </x:c>
      <x:c r="K140" s="14" t="n">
        <x:v>2025</x:v>
      </x:c>
      <x:c r="L140" s="8" t="str">
        <x:v>Long Duane</x:v>
      </x:c>
      <x:c r="M140" s="8" t="str">
        <x:v>Long</x:v>
      </x:c>
      <x:c r="N140" s="8" t="str">
        <x:v>Duane</x:v>
      </x:c>
      <x:c r="O140" s="8" t="str"/>
      <x:c r="P140" s="15" t="str"/>
      <x:c r="Q140" s="8" t="str">
        <x:v>SUNY Buffalo, Iowa State</x:v>
      </x:c>
      <x:c r="R140" s="8" t="str">
        <x:v>Existing</x:v>
      </x:c>
      <x:c r="S140" s="15" t="str">
        <x:v>Existing database value</x:v>
      </x:c>
      <x:c r="T140" s="8" t="str">
        <x:v>USA Central</x:v>
      </x:c>
      <x:c r="U140" s="8" t="str">
        <x:v>High</x:v>
      </x:c>
      <x:c r="V140" s="15" t="str">
        <x:v>Existing country and state</x:v>
      </x:c>
      <x:c r="W140" s="8" t="str"/>
      <x:c r="X140" s="8" t="str">
        <x:v>Region</x:v>
      </x:c>
      <x:c r="Y140" s="17" t="str">
        <x:v>Proposed change</x:v>
      </x:c>
      <x:c r="Z140" s="20" t="str"/>
      <x:c r="AA140" s="21" t="str"/>
    </x:row>
    <x:row r="141">
      <x:c r="A141" s="8" t="str">
        <x:v>SAGP001397</x:v>
      </x:c>
      <x:c r="B141" s="8" t="str">
        <x:v>Lou Bradizza</x:v>
      </x:c>
      <x:c r="C141" s="8" t="str">
        <x:v>Lou</x:v>
      </x:c>
      <x:c r="D141" s="8" t="str">
        <x:v>Bradizza</x:v>
      </x:c>
      <x:c r="E141" s="8" t="str">
        <x:v>lou.bradizza@gmail.com</x:v>
      </x:c>
      <x:c r="F141" s="8" t="str">
        <x:v>gmail.com</x:v>
      </x:c>
      <x:c r="G141" s="8" t="str"/>
      <x:c r="H141" s="8" t="str"/>
      <x:c r="I141" s="8" t="str">
        <x:v>US</x:v>
      </x:c>
      <x:c r="J141" s="8" t="str">
        <x:v>RI</x:v>
      </x:c>
      <x:c r="K141" s="14" t="n">
        <x:v>2025</x:v>
      </x:c>
      <x:c r="L141" s="8" t="str">
        <x:v>Lou Bradizza</x:v>
      </x:c>
      <x:c r="M141" s="8" t="str">
        <x:v>Lou</x:v>
      </x:c>
      <x:c r="N141" s="8" t="str">
        <x:v>Bradizza</x:v>
      </x:c>
      <x:c r="O141" s="8" t="str"/>
      <x:c r="P141" s="15" t="str"/>
      <x:c r="Q141" s="8" t="str"/>
      <x:c r="R141" s="8" t="str"/>
      <x:c r="S141" s="15" t="str"/>
      <x:c r="T141" s="8" t="str">
        <x:v>USA Eastern</x:v>
      </x:c>
      <x:c r="U141" s="8" t="str">
        <x:v>High</x:v>
      </x:c>
      <x:c r="V141" s="15" t="str">
        <x:v>Existing country and state</x:v>
      </x:c>
      <x:c r="W141" s="8" t="str"/>
      <x:c r="X141" s="8" t="str">
        <x:v>Region</x:v>
      </x:c>
      <x:c r="Y141" s="17" t="str">
        <x:v>Proposed change</x:v>
      </x:c>
      <x:c r="Z141" s="20" t="str"/>
      <x:c r="AA141" s="21" t="str"/>
    </x:row>
    <x:row r="142">
      <x:c r="A142" s="8" t="str">
        <x:v>SAGP000326</x:v>
      </x:c>
      <x:c r="B142" s="8" t="str">
        <x:v>Lutz Christopher</x:v>
      </x:c>
      <x:c r="C142" s="8" t="str">
        <x:v>Lutz</x:v>
      </x:c>
      <x:c r="D142" s="8" t="str">
        <x:v>Christopher</x:v>
      </x:c>
      <x:c r="E142" s="8" t="str">
        <x:v>lutzc2@duq.edu</x:v>
      </x:c>
      <x:c r="F142" s="8" t="str">
        <x:v>duq.edu</x:v>
      </x:c>
      <x:c r="G142" s="8" t="str"/>
      <x:c r="H142" s="8" t="str"/>
      <x:c r="I142" s="8" t="str">
        <x:v>US</x:v>
      </x:c>
      <x:c r="J142" s="8" t="str">
        <x:v>PA</x:v>
      </x:c>
      <x:c r="K142" s="14" t="n">
        <x:v>2025</x:v>
      </x:c>
      <x:c r="L142" s="8" t="str">
        <x:v>Lutz Christopher</x:v>
      </x:c>
      <x:c r="M142" s="8" t="str">
        <x:v>Lutz</x:v>
      </x:c>
      <x:c r="N142" s="8" t="str">
        <x:v>Christopher</x:v>
      </x:c>
      <x:c r="O142" s="8" t="str"/>
      <x:c r="P142" s="15" t="str"/>
      <x:c r="Q142" s="8" t="str">
        <x:v>University of Chicago Graham School</x:v>
      </x:c>
      <x:c r="R142" s="8" t="str">
        <x:v>High</x:v>
      </x:c>
      <x:c r="S142" s="15" t="str">
        <x:v>Official University of Chicago Graham School profile lists Christopher Lutz; Duquesne was his doctoral institution.</x:v>
      </x:c>
      <x:c r="T142" s="8" t="str">
        <x:v>USA Eastern</x:v>
      </x:c>
      <x:c r="U142" s="8" t="str">
        <x:v>High</x:v>
      </x:c>
      <x:c r="V142" s="15" t="str">
        <x:v>Existing country and state</x:v>
      </x:c>
      <x:c r="W142" s="8" t="str">
        <x:v>https://graham.uchicago.edu/bio/christopher-lutz/</x:v>
      </x:c>
      <x:c r="X142" s="8" t="str">
        <x:v>Institution, Region</x:v>
      </x:c>
      <x:c r="Y142" s="17" t="str">
        <x:v>Proposed change</x:v>
      </x:c>
      <x:c r="Z142" s="20" t="str"/>
      <x:c r="AA142" s="21" t="str">
        <x:v>Institution proposal updated from doctoral institution (Duquesne) to current University of Chicago Graham School affiliation.</x:v>
      </x:c>
    </x:row>
    <x:row r="143">
      <x:c r="A143" s="8" t="str">
        <x:v>SAGP001823</x:v>
      </x:c>
      <x:c r="B143" s="8" t="str">
        <x:v>Lydia Skoufalou</x:v>
      </x:c>
      <x:c r="C143" s="8" t="str">
        <x:v>Lydia</x:v>
      </x:c>
      <x:c r="D143" s="8" t="str">
        <x:v>Skoufalou</x:v>
      </x:c>
      <x:c r="E143" s="8" t="str">
        <x:v>lydsko2022@gmail.com</x:v>
      </x:c>
      <x:c r="F143" s="8" t="str">
        <x:v>gmail.com</x:v>
      </x:c>
      <x:c r="G143" s="8" t="str">
        <x:v>Aristotle University of Thessaloniki</x:v>
      </x:c>
      <x:c r="H143" s="8" t="str">
        <x:v>Greece</x:v>
      </x:c>
      <x:c r="I143" s="8" t="str"/>
      <x:c r="J143" s="8" t="str"/>
      <x:c r="K143" s="14" t="n">
        <x:v>2029</x:v>
      </x:c>
      <x:c r="L143" s="8" t="str">
        <x:v>Lydia Skoufalou</x:v>
      </x:c>
      <x:c r="M143" s="8" t="str">
        <x:v>Lydia</x:v>
      </x:c>
      <x:c r="N143" s="8" t="str">
        <x:v>Skoufalou</x:v>
      </x:c>
      <x:c r="O143" s="8" t="str"/>
      <x:c r="P143" s="15" t="str"/>
      <x:c r="Q143" s="8" t="str">
        <x:v>Aristotle University of Thessaloniki</x:v>
      </x:c>
      <x:c r="R143" s="8" t="str">
        <x:v>Existing</x:v>
      </x:c>
      <x:c r="S143" s="15" t="str">
        <x:v>Existing database value</x:v>
      </x:c>
      <x:c r="T143" s="8" t="str">
        <x:v>Greece</x:v>
      </x:c>
      <x:c r="U143" s="8" t="str">
        <x:v>Existing</x:v>
      </x:c>
      <x:c r="V143" s="15" t="str">
        <x:v>Existing database value</x:v>
      </x:c>
      <x:c r="W143" s="8" t="str"/>
      <x:c r="X143" s="8" t="str"/>
      <x:c r="Y143" s="8" t="str">
        <x:v>No change proposed</x:v>
      </x:c>
      <x:c r="Z143" s="20" t="str"/>
      <x:c r="AA143" s="21" t="str"/>
    </x:row>
    <x:row r="144">
      <x:c r="A144" s="8" t="str">
        <x:v>SAGP001653</x:v>
      </x:c>
      <x:c r="B144" s="8" t="str">
        <x:v>Maria Oddo</x:v>
      </x:c>
      <x:c r="C144" s="8" t="str">
        <x:v>Maria</x:v>
      </x:c>
      <x:c r="D144" s="8" t="str">
        <x:v>Oddo</x:v>
      </x:c>
      <x:c r="E144" s="8" t="str">
        <x:v>maria.oddo@imtlucca.it</x:v>
      </x:c>
      <x:c r="F144" s="8" t="str">
        <x:v>imtlucca.it</x:v>
      </x:c>
      <x:c r="G144" s="8" t="str"/>
      <x:c r="H144" s="8" t="str"/>
      <x:c r="I144" s="8" t="str"/>
      <x:c r="J144" s="8" t="str"/>
      <x:c r="K144" s="14" t="n">
        <x:v>2026</x:v>
      </x:c>
      <x:c r="L144" s="8" t="str">
        <x:v>Maria Oddo</x:v>
      </x:c>
      <x:c r="M144" s="8" t="str">
        <x:v>Maria</x:v>
      </x:c>
      <x:c r="N144" s="8" t="str">
        <x:v>Oddo</x:v>
      </x:c>
      <x:c r="O144" s="8" t="str"/>
      <x:c r="P144" s="15" t="str"/>
      <x:c r="Q144" s="8" t="str">
        <x:v>IMT School for Advanced Studies Lucca</x:v>
      </x:c>
      <x:c r="R144" s="8" t="str">
        <x:v>High</x:v>
      </x:c>
      <x:c r="S144" s="15" t="str">
        <x:v>Official IMT Lucca profile lists Maria Emanuela Oddo.</x:v>
      </x:c>
      <x:c r="T144" s="8" t="str">
        <x:v>Europe</x:v>
      </x:c>
      <x:c r="U144" s="8" t="str">
        <x:v>Medium</x:v>
      </x:c>
      <x:c r="V144" s="15" t="str">
        <x:v>Institutional email country domain</x:v>
      </x:c>
      <x:c r="W144" s="8" t="str">
        <x:v>https://www.imtlucca.it/maria.oddo</x:v>
      </x:c>
      <x:c r="X144" s="8" t="str">
        <x:v>Institution, Region</x:v>
      </x:c>
      <x:c r="Y144" s="17" t="str">
        <x:v>Proposed change</x:v>
      </x:c>
      <x:c r="Z144" s="20" t="str"/>
      <x:c r="AA144" s="21" t="str"/>
    </x:row>
    <x:row r="145">
      <x:c r="A145" s="8" t="str">
        <x:v>SAGP000460</x:v>
      </x:c>
      <x:c r="B145" s="8" t="str">
        <x:v>Maria Picone</x:v>
      </x:c>
      <x:c r="C145" s="8" t="str">
        <x:v>Maria</x:v>
      </x:c>
      <x:c r="D145" s="8" t="str">
        <x:v>Picone</x:v>
      </x:c>
      <x:c r="E145" s="8" t="str">
        <x:v>mspicone@gmail.com</x:v>
      </x:c>
      <x:c r="F145" s="8" t="str">
        <x:v>gmail.com</x:v>
      </x:c>
      <x:c r="G145" s="8" t="str"/>
      <x:c r="H145" s="8" t="str"/>
      <x:c r="I145" s="8" t="str">
        <x:v>US</x:v>
      </x:c>
      <x:c r="J145" s="8" t="str">
        <x:v>SC</x:v>
      </x:c>
      <x:c r="K145" s="14" t="n">
        <x:v>2025</x:v>
      </x:c>
      <x:c r="L145" s="8" t="str">
        <x:v>Maria Picone</x:v>
      </x:c>
      <x:c r="M145" s="8" t="str">
        <x:v>Maria</x:v>
      </x:c>
      <x:c r="N145" s="8" t="str">
        <x:v>Picone</x:v>
      </x:c>
      <x:c r="O145" s="8" t="str"/>
      <x:c r="P145" s="15" t="str"/>
      <x:c r="Q145" s="8" t="str"/>
      <x:c r="R145" s="8" t="str"/>
      <x:c r="S145" s="15" t="str"/>
      <x:c r="T145" s="8" t="str">
        <x:v>USA Eastern</x:v>
      </x:c>
      <x:c r="U145" s="8" t="str">
        <x:v>High</x:v>
      </x:c>
      <x:c r="V145" s="15" t="str">
        <x:v>Existing country and state</x:v>
      </x:c>
      <x:c r="W145" s="8" t="str"/>
      <x:c r="X145" s="8" t="str">
        <x:v>Region</x:v>
      </x:c>
      <x:c r="Y145" s="17" t="str">
        <x:v>Proposed change</x:v>
      </x:c>
      <x:c r="Z145" s="20" t="str"/>
      <x:c r="AA145" s="21" t="str"/>
    </x:row>
    <x:row r="146">
      <x:c r="A146" s="8" t="str">
        <x:v>SAGP001615</x:v>
      </x:c>
      <x:c r="B146" s="8" t="str">
        <x:v>Marije Martijn</x:v>
      </x:c>
      <x:c r="C146" s="8" t="str">
        <x:v>Marije</x:v>
      </x:c>
      <x:c r="D146" s="8" t="str">
        <x:v>Martijn</x:v>
      </x:c>
      <x:c r="E146" s="8" t="str">
        <x:v>m.martijn@ph.vu.nl</x:v>
      </x:c>
      <x:c r="F146" s="8" t="str">
        <x:v>ph.vu.nl</x:v>
      </x:c>
      <x:c r="G146" s="8" t="str"/>
      <x:c r="H146" s="8" t="str"/>
      <x:c r="I146" s="8" t="str"/>
      <x:c r="J146" s="8" t="str"/>
      <x:c r="K146" s="14" t="n">
        <x:v>2026</x:v>
      </x:c>
      <x:c r="L146" s="8" t="str">
        <x:v>Marije Martijn</x:v>
      </x:c>
      <x:c r="M146" s="8" t="str">
        <x:v>Marije</x:v>
      </x:c>
      <x:c r="N146" s="8" t="str">
        <x:v>Martijn</x:v>
      </x:c>
      <x:c r="O146" s="8" t="str"/>
      <x:c r="P146" s="15" t="str"/>
      <x:c r="Q146" s="8" t="str">
        <x:v>Vrije Universiteit Amsterdam</x:v>
      </x:c>
      <x:c r="R146" s="8" t="str">
        <x:v>High</x:v>
      </x:c>
      <x:c r="S146" s="15" t="str">
        <x:v>Official Vrije Universiteit Amsterdam profile lists Marije Martijn as Full Professor and the same email address.</x:v>
      </x:c>
      <x:c r="T146" s="8" t="str">
        <x:v>Europe</x:v>
      </x:c>
      <x:c r="U146" s="8" t="str">
        <x:v>Medium</x:v>
      </x:c>
      <x:c r="V146" s="15" t="str">
        <x:v>Institutional email country domain</x:v>
      </x:c>
      <x:c r="W146" s="8" t="str">
        <x:v>https://research.vu.nl/en/persons/marije-martijn/</x:v>
      </x:c>
      <x:c r="X146" s="8" t="str">
        <x:v>Institution, Region</x:v>
      </x:c>
      <x:c r="Y146" s="17" t="str">
        <x:v>Proposed change</x:v>
      </x:c>
      <x:c r="Z146" s="20" t="str"/>
      <x:c r="AA146" s="21" t="str"/>
    </x:row>
    <x:row r="147">
      <x:c r="A147" s="8" t="str">
        <x:v>SAGP001144</x:v>
      </x:c>
      <x:c r="B147" s="8" t="str">
        <x:v>Marion Durand</x:v>
      </x:c>
      <x:c r="C147" s="8" t="str">
        <x:v>Marion</x:v>
      </x:c>
      <x:c r="D147" s="8" t="str">
        <x:v>Durand</x:v>
      </x:c>
      <x:c r="E147" s="8" t="str">
        <x:v>marionodurand@gmail.com</x:v>
      </x:c>
      <x:c r="F147" s="8" t="str">
        <x:v>gmail.com</x:v>
      </x:c>
      <x:c r="G147" s="8" t="str"/>
      <x:c r="H147" s="8" t="str"/>
      <x:c r="I147" s="8" t="str"/>
      <x:c r="J147" s="8" t="str"/>
      <x:c r="K147" s="14" t="n">
        <x:v>2026</x:v>
      </x:c>
      <x:c r="L147" s="8" t="str">
        <x:v>Marion Durand</x:v>
      </x:c>
      <x:c r="M147" s="8" t="str">
        <x:v>Marion</x:v>
      </x:c>
      <x:c r="N147" s="8" t="str">
        <x:v>Durand</x:v>
      </x:c>
      <x:c r="O147" s="8" t="str"/>
      <x:c r="P147" s="15" t="str"/>
      <x:c r="Q147" s="8" t="str"/>
      <x:c r="R147" s="8" t="str"/>
      <x:c r="S147" s="15" t="str"/>
      <x:c r="T147" s="8" t="str"/>
      <x:c r="U147" s="8" t="str"/>
      <x:c r="V147" s="15" t="str"/>
      <x:c r="W147" s="8" t="str"/>
      <x:c r="X147" s="8" t="str"/>
      <x:c r="Y147" s="19" t="str">
        <x:v>Needs research</x:v>
      </x:c>
      <x:c r="Z147" s="20" t="str"/>
      <x:c r="AA147" s="21" t="str"/>
    </x:row>
    <x:row r="148">
      <x:c r="A148" s="8" t="str">
        <x:v>SAGP001797</x:v>
      </x:c>
      <x:c r="B148" s="8" t="str">
        <x:v>Marius Wegrzyn</x:v>
      </x:c>
      <x:c r="C148" s="8" t="str">
        <x:v>Marius</x:v>
      </x:c>
      <x:c r="D148" s="8" t="str">
        <x:v>Wegrzyn</x:v>
      </x:c>
      <x:c r="E148" s="8" t="str">
        <x:v>mariuszwegrzyn@wp.pl</x:v>
      </x:c>
      <x:c r="F148" s="8" t="str">
        <x:v>wp.pl</x:v>
      </x:c>
      <x:c r="G148" s="8" t="str"/>
      <x:c r="H148" s="8" t="str"/>
      <x:c r="I148" s="8" t="str"/>
      <x:c r="J148" s="8" t="str"/>
      <x:c r="K148" s="14" t="n">
        <x:v>2025</x:v>
      </x:c>
      <x:c r="L148" s="8" t="str">
        <x:v>Marius Wegrzyn</x:v>
      </x:c>
      <x:c r="M148" s="8" t="str">
        <x:v>Marius</x:v>
      </x:c>
      <x:c r="N148" s="8" t="str">
        <x:v>Wegrzyn</x:v>
      </x:c>
      <x:c r="O148" s="8" t="str"/>
      <x:c r="P148" s="15" t="str"/>
      <x:c r="Q148" s="8" t="str"/>
      <x:c r="R148" s="8" t="str"/>
      <x:c r="S148" s="15" t="str"/>
      <x:c r="T148" s="8" t="str">
        <x:v>Europe</x:v>
      </x:c>
      <x:c r="U148" s="8" t="str">
        <x:v>Medium</x:v>
      </x:c>
      <x:c r="V148" s="15" t="str">
        <x:v>Institutional email country domain</x:v>
      </x:c>
      <x:c r="W148" s="8" t="str"/>
      <x:c r="X148" s="8" t="str">
        <x:v>Region</x:v>
      </x:c>
      <x:c r="Y148" s="17" t="str">
        <x:v>Proposed change</x:v>
      </x:c>
      <x:c r="Z148" s="20" t="str"/>
      <x:c r="AA148" s="21" t="str"/>
    </x:row>
    <x:row r="149">
      <x:c r="A149" s="8" t="str">
        <x:v>SAGP000438</x:v>
      </x:c>
      <x:c r="B149" s="8" t="str">
        <x:v>Mark A Lee</x:v>
      </x:c>
      <x:c r="C149" s="8" t="str">
        <x:v>Mark A</x:v>
      </x:c>
      <x:c r="D149" s="8" t="str">
        <x:v>Lee</x:v>
      </x:c>
      <x:c r="E149" s="8" t="str">
        <x:v>mal56@georgetown.edu</x:v>
      </x:c>
      <x:c r="F149" s="8" t="str">
        <x:v>georgetown.edu</x:v>
      </x:c>
      <x:c r="G149" s="8" t="str">
        <x:v>Georgetown University</x:v>
      </x:c>
      <x:c r="H149" s="8" t="str">
        <x:v>USA Eastern</x:v>
      </x:c>
      <x:c r="I149" s="8" t="str">
        <x:v>US</x:v>
      </x:c>
      <x:c r="J149" s="8" t="str">
        <x:v>VA</x:v>
      </x:c>
      <x:c r="K149" s="14" t="n">
        <x:v>2031</x:v>
      </x:c>
      <x:c r="L149" s="8" t="str">
        <x:v>Mark A Lee</x:v>
      </x:c>
      <x:c r="M149" s="8" t="str">
        <x:v>Mark A</x:v>
      </x:c>
      <x:c r="N149" s="8" t="str">
        <x:v>Lee</x:v>
      </x:c>
      <x:c r="O149" s="8" t="str"/>
      <x:c r="P149" s="15" t="str"/>
      <x:c r="Q149" s="8" t="str">
        <x:v>Georgetown University</x:v>
      </x:c>
      <x:c r="R149" s="8" t="str">
        <x:v>Existing</x:v>
      </x:c>
      <x:c r="S149" s="15" t="str">
        <x:v>Existing database value</x:v>
      </x:c>
      <x:c r="T149" s="8" t="str">
        <x:v>USA Eastern</x:v>
      </x:c>
      <x:c r="U149" s="8" t="str">
        <x:v>Existing</x:v>
      </x:c>
      <x:c r="V149" s="15" t="str">
        <x:v>Existing database value</x:v>
      </x:c>
      <x:c r="W149" s="8" t="str"/>
      <x:c r="X149" s="8" t="str"/>
      <x:c r="Y149" s="8" t="str">
        <x:v>No change proposed</x:v>
      </x:c>
      <x:c r="Z149" s="20" t="str"/>
      <x:c r="AA149" s="21" t="str"/>
    </x:row>
    <x:row r="150">
      <x:c r="A150" s="8" t="str">
        <x:v>SAGP000519</x:v>
      </x:c>
      <x:c r="B150" s="8" t="str">
        <x:v>Mark Faller</x:v>
      </x:c>
      <x:c r="C150" s="8" t="str">
        <x:v>Mark</x:v>
      </x:c>
      <x:c r="D150" s="8" t="str">
        <x:v>Faller</x:v>
      </x:c>
      <x:c r="E150" s="8" t="str">
        <x:v>markfaller@yahoo.com</x:v>
      </x:c>
      <x:c r="F150" s="8" t="str">
        <x:v>yahoo.com</x:v>
      </x:c>
      <x:c r="G150" s="8" t="str"/>
      <x:c r="H150" s="8" t="str"/>
      <x:c r="I150" s="8" t="str">
        <x:v>US</x:v>
      </x:c>
      <x:c r="J150" s="8" t="str">
        <x:v>TN</x:v>
      </x:c>
      <x:c r="K150" s="14" t="n">
        <x:v>2027</x:v>
      </x:c>
      <x:c r="L150" s="8" t="str">
        <x:v>Mark Faller</x:v>
      </x:c>
      <x:c r="M150" s="8" t="str">
        <x:v>Mark</x:v>
      </x:c>
      <x:c r="N150" s="8" t="str">
        <x:v>Faller</x:v>
      </x:c>
      <x:c r="O150" s="8" t="str"/>
      <x:c r="P150" s="15" t="str"/>
      <x:c r="Q150" s="8" t="str"/>
      <x:c r="R150" s="8" t="str"/>
      <x:c r="S150" s="15" t="str"/>
      <x:c r="T150" s="8" t="str">
        <x:v>USA Central</x:v>
      </x:c>
      <x:c r="U150" s="8" t="str">
        <x:v>High</x:v>
      </x:c>
      <x:c r="V150" s="15" t="str">
        <x:v>Existing country and state</x:v>
      </x:c>
      <x:c r="W150" s="8" t="str"/>
      <x:c r="X150" s="8" t="str">
        <x:v>Region</x:v>
      </x:c>
      <x:c r="Y150" s="17" t="str">
        <x:v>Proposed change</x:v>
      </x:c>
      <x:c r="Z150" s="20" t="str"/>
      <x:c r="AA150" s="21" t="str"/>
    </x:row>
    <x:row r="151">
      <x:c r="A151" s="8" t="str">
        <x:v>SAGP000820</x:v>
      </x:c>
      <x:c r="B151" s="8" t="str">
        <x:v>Mark Kuczewski</x:v>
      </x:c>
      <x:c r="C151" s="8" t="str">
        <x:v>Mark</x:v>
      </x:c>
      <x:c r="D151" s="8" t="str">
        <x:v>Kuczewski</x:v>
      </x:c>
      <x:c r="E151" s="8" t="str">
        <x:v>mkuczew@luc.edu</x:v>
      </x:c>
      <x:c r="F151" s="8" t="str">
        <x:v>luc.edu</x:v>
      </x:c>
      <x:c r="G151" s="8" t="str"/>
      <x:c r="H151" s="8" t="str"/>
      <x:c r="I151" s="8" t="str"/>
      <x:c r="J151" s="8" t="str"/>
      <x:c r="K151" s="14" t="n">
        <x:v>2026</x:v>
      </x:c>
      <x:c r="L151" s="8" t="str">
        <x:v>Mark Kuczewski</x:v>
      </x:c>
      <x:c r="M151" s="8" t="str">
        <x:v>Mark</x:v>
      </x:c>
      <x:c r="N151" s="8" t="str">
        <x:v>Kuczewski</x:v>
      </x:c>
      <x:c r="O151" s="8" t="str"/>
      <x:c r="P151" s="15" t="str"/>
      <x:c r="Q151" s="8" t="str">
        <x:v>Loyola University Chicago</x:v>
      </x:c>
      <x:c r="R151" s="8" t="str">
        <x:v>High</x:v>
      </x:c>
      <x:c r="S151" s="15" t="str">
        <x:v>Official Loyola University Chicago profile lists Mark Kuczewski.</x:v>
      </x:c>
      <x:c r="T151" s="8" t="str"/>
      <x:c r="U151" s="8" t="str"/>
      <x:c r="V151" s="15" t="str"/>
      <x:c r="W151" s="8" t="str">
        <x:v>https://www.luc.edu/stritch/bioethics/aboutus/facultydirectory/profiles/kuczewskimark.shtml</x:v>
      </x:c>
      <x:c r="X151" s="8" t="str">
        <x:v>Institution</x:v>
      </x:c>
      <x:c r="Y151" s="17" t="str">
        <x:v>Proposed change</x:v>
      </x:c>
      <x:c r="Z151" s="20" t="str"/>
      <x:c r="AA151" s="21" t="str"/>
    </x:row>
    <x:row r="152">
      <x:c r="A152" s="8" t="str">
        <x:v>SAGP000926</x:v>
      </x:c>
      <x:c r="B152" s="8" t="str">
        <x:v>Mark Morelli</x:v>
      </x:c>
      <x:c r="C152" s="8" t="str">
        <x:v>Mark</x:v>
      </x:c>
      <x:c r="D152" s="8" t="str">
        <x:v>Morelli</x:v>
      </x:c>
      <x:c r="E152" s="8" t="str">
        <x:v>mmorelli@lmu.edu</x:v>
      </x:c>
      <x:c r="F152" s="8" t="str">
        <x:v>lmu.edu</x:v>
      </x:c>
      <x:c r="G152" s="8" t="str"/>
      <x:c r="H152" s="8" t="str"/>
      <x:c r="I152" s="8" t="str"/>
      <x:c r="J152" s="8" t="str"/>
      <x:c r="K152" s="14" t="n">
        <x:v>2025</x:v>
      </x:c>
      <x:c r="L152" s="8" t="str">
        <x:v>Mark Morelli</x:v>
      </x:c>
      <x:c r="M152" s="8" t="str">
        <x:v>Mark</x:v>
      </x:c>
      <x:c r="N152" s="8" t="str">
        <x:v>Morelli</x:v>
      </x:c>
      <x:c r="O152" s="8" t="str"/>
      <x:c r="P152" s="15" t="str"/>
      <x:c r="Q152" s="8" t="str">
        <x:v>Loyola Marymount University</x:v>
      </x:c>
      <x:c r="R152" s="8" t="str">
        <x:v>High</x:v>
      </x:c>
      <x:c r="S152" s="15" t="str">
        <x:v>Official LMU memorial identifies Mark Morelli as professor emeritus and states that he died May 27, 2026.</x:v>
      </x:c>
      <x:c r="T152" s="8" t="str"/>
      <x:c r="U152" s="8" t="str"/>
      <x:c r="V152" s="15" t="str"/>
      <x:c r="W152" s="8" t="str">
        <x:v>https://newsroom.lmu.edu/uncategorized/mark-morelli/</x:v>
      </x:c>
      <x:c r="X152" s="8" t="str">
        <x:v>Institution</x:v>
      </x:c>
      <x:c r="Y152" s="19" t="str">
        <x:v>Needs research</x:v>
      </x:c>
      <x:c r="Z152" s="20" t="str"/>
      <x:c r="AA152" s="21" t="str">
        <x:v>IMPORTANT: LMU says Mark Morelli died May 27, 2026; review why this appears among current paid members.</x:v>
      </x:c>
    </x:row>
    <x:row r="153">
      <x:c r="A153" s="8" t="str">
        <x:v>SAGP001264</x:v>
      </x:c>
      <x:c r="B153" s="8" t="str">
        <x:v>Mashhura Vazirova</x:v>
      </x:c>
      <x:c r="C153" s="8" t="str">
        <x:v>Mashhura</x:v>
      </x:c>
      <x:c r="D153" s="8" t="str">
        <x:v>Vazirova</x:v>
      </x:c>
      <x:c r="E153" s="8" t="str">
        <x:v>mashura.vazirova@gmail.com</x:v>
      </x:c>
      <x:c r="F153" s="8" t="str">
        <x:v>gmail.com</x:v>
      </x:c>
      <x:c r="G153" s="8" t="str"/>
      <x:c r="H153" s="8" t="str"/>
      <x:c r="I153" s="8" t="str">
        <x:v>TJ</x:v>
      </x:c>
      <x:c r="J153" s="8" t="str"/>
      <x:c r="K153" s="14" t="n">
        <x:v>2025</x:v>
      </x:c>
      <x:c r="L153" s="8" t="str">
        <x:v>Mashhura Vazirova</x:v>
      </x:c>
      <x:c r="M153" s="8" t="str">
        <x:v>Mashhura</x:v>
      </x:c>
      <x:c r="N153" s="8" t="str">
        <x:v>Vazirova</x:v>
      </x:c>
      <x:c r="O153" s="8" t="str"/>
      <x:c r="P153" s="15" t="str"/>
      <x:c r="Q153" s="8" t="str"/>
      <x:c r="R153" s="8" t="str"/>
      <x:c r="S153" s="15" t="str"/>
      <x:c r="T153" s="8" t="str"/>
      <x:c r="U153" s="8" t="str"/>
      <x:c r="V153" s="15" t="str"/>
      <x:c r="W153" s="8" t="str"/>
      <x:c r="X153" s="8" t="str"/>
      <x:c r="Y153" s="19" t="str">
        <x:v>Needs research</x:v>
      </x:c>
      <x:c r="Z153" s="20" t="str"/>
      <x:c r="AA153" s="21" t="str"/>
    </x:row>
    <x:row r="154">
      <x:c r="A154" s="8" t="str">
        <x:v>SAGP001076</x:v>
      </x:c>
      <x:c r="B154" s="8" t="str">
        <x:v>Mason Marshall</x:v>
      </x:c>
      <x:c r="C154" s="8" t="str">
        <x:v>Mason</x:v>
      </x:c>
      <x:c r="D154" s="8" t="str">
        <x:v>Marshall</x:v>
      </x:c>
      <x:c r="E154" s="8" t="str">
        <x:v>mason.marshall@pepperdine.edu</x:v>
      </x:c>
      <x:c r="F154" s="8" t="str">
        <x:v>pepperdine.edu</x:v>
      </x:c>
      <x:c r="G154" s="8" t="str">
        <x:v>Pepperdine University</x:v>
      </x:c>
      <x:c r="H154" s="8" t="str"/>
      <x:c r="I154" s="8" t="str"/>
      <x:c r="J154" s="8" t="str"/>
      <x:c r="K154" s="14" t="n">
        <x:v>2025</x:v>
      </x:c>
      <x:c r="L154" s="8" t="str">
        <x:v>Mason Marshall</x:v>
      </x:c>
      <x:c r="M154" s="8" t="str">
        <x:v>Mason</x:v>
      </x:c>
      <x:c r="N154" s="8" t="str">
        <x:v>Marshall</x:v>
      </x:c>
      <x:c r="O154" s="8" t="str"/>
      <x:c r="P154" s="15" t="str"/>
      <x:c r="Q154" s="8" t="str">
        <x:v>Pepperdine University</x:v>
      </x:c>
      <x:c r="R154" s="8" t="str">
        <x:v>Existing</x:v>
      </x:c>
      <x:c r="S154" s="15" t="str">
        <x:v>Existing database value</x:v>
      </x:c>
      <x:c r="T154" s="8" t="str"/>
      <x:c r="U154" s="8" t="str"/>
      <x:c r="V154" s="15" t="str"/>
      <x:c r="W154" s="8" t="str"/>
      <x:c r="X154" s="8" t="str"/>
      <x:c r="Y154" s="19" t="str">
        <x:v>Needs research</x:v>
      </x:c>
      <x:c r="Z154" s="20" t="str"/>
      <x:c r="AA154" s="21" t="str"/>
    </x:row>
    <x:row r="155">
      <x:c r="A155" s="8" t="str">
        <x:v>SAGP001819</x:v>
      </x:c>
      <x:c r="B155" s="8" t="str">
        <x:v>Max DuBoff</x:v>
      </x:c>
      <x:c r="C155" s="8" t="str">
        <x:v>Max</x:v>
      </x:c>
      <x:c r="D155" s="8" t="str">
        <x:v>DuBoff</x:v>
      </x:c>
      <x:c r="E155" s="8" t="str">
        <x:v>duboff.max@gmail.com</x:v>
      </x:c>
      <x:c r="F155" s="8" t="str">
        <x:v>gmail.com</x:v>
      </x:c>
      <x:c r="G155" s="8" t="str">
        <x:v>Fairfield University</x:v>
      </x:c>
      <x:c r="H155" s="8" t="str"/>
      <x:c r="I155" s="8" t="str"/>
      <x:c r="J155" s="8" t="str"/>
      <x:c r="K155" s="14" t="n">
        <x:v>2027</x:v>
      </x:c>
      <x:c r="L155" s="8" t="str">
        <x:v>Max DuBoff</x:v>
      </x:c>
      <x:c r="M155" s="8" t="str">
        <x:v>Max</x:v>
      </x:c>
      <x:c r="N155" s="8" t="str">
        <x:v>DuBoff</x:v>
      </x:c>
      <x:c r="O155" s="8" t="str"/>
      <x:c r="P155" s="15" t="str"/>
      <x:c r="Q155" s="8" t="str">
        <x:v>Fairfield University</x:v>
      </x:c>
      <x:c r="R155" s="8" t="str">
        <x:v>Existing</x:v>
      </x:c>
      <x:c r="S155" s="15" t="str">
        <x:v>Existing database value</x:v>
      </x:c>
      <x:c r="T155" s="8" t="str"/>
      <x:c r="U155" s="8" t="str"/>
      <x:c r="V155" s="15" t="str"/>
      <x:c r="W155" s="8" t="str"/>
      <x:c r="X155" s="8" t="str"/>
      <x:c r="Y155" s="19" t="str">
        <x:v>Needs research</x:v>
      </x:c>
      <x:c r="Z155" s="20" t="str"/>
      <x:c r="AA155" s="21" t="str"/>
    </x:row>
    <x:row r="156">
      <x:c r="A156" s="8" t="str">
        <x:v>SAGP000125</x:v>
      </x:c>
      <x:c r="B156" s="8" t="str">
        <x:v>McNamara Mary</x:v>
      </x:c>
      <x:c r="C156" s="8" t="str">
        <x:v>McNamara</x:v>
      </x:c>
      <x:c r="D156" s="8" t="str">
        <x:v>Mary</x:v>
      </x:c>
      <x:c r="E156" s="8" t="str">
        <x:v>mmcnamara@gradcenter.cuny.edu</x:v>
      </x:c>
      <x:c r="F156" s="8" t="str">
        <x:v>gradcenter.cuny.edu</x:v>
      </x:c>
      <x:c r="G156" s="8" t="str"/>
      <x:c r="H156" s="8" t="str"/>
      <x:c r="I156" s="8" t="str"/>
      <x:c r="J156" s="8" t="str"/>
      <x:c r="K156" s="14" t="n">
        <x:v>2025</x:v>
      </x:c>
      <x:c r="L156" s="8" t="str">
        <x:v>Mary Mcnamara</x:v>
      </x:c>
      <x:c r="M156" s="8" t="str">
        <x:v>Mary</x:v>
      </x:c>
      <x:c r="N156" s="8" t="str">
        <x:v>Mcnamara</x:v>
      </x:c>
      <x:c r="O156" s="8" t="str">
        <x:v>High</x:v>
      </x:c>
      <x:c r="P156" s="15" t="str">
        <x:v>Email address pattern strongly supports given-name/surname reversal</x:v>
      </x:c>
      <x:c r="Q156" s="8" t="str">
        <x:v>The Graduate Center, CUNY</x:v>
      </x:c>
      <x:c r="R156" s="8" t="str">
        <x:v>High</x:v>
      </x:c>
      <x:c r="S156" s="15" t="str">
        <x:v>The official CUNY Graduate Center Classics page lists Mary Jean McNamara as a Graduate Assistant and gives the same email address.</x:v>
      </x:c>
      <x:c r="T156" s="8" t="str"/>
      <x:c r="U156" s="8" t="str"/>
      <x:c r="V156" s="15" t="str"/>
      <x:c r="W156" s="8" t="str">
        <x:v>https://www.gc.cuny.edu/classics/student-and-alumni-highlights</x:v>
      </x:c>
      <x:c r="X156" s="8" t="str">
        <x:v>Name, Institution</x:v>
      </x:c>
      <x:c r="Y156" s="17" t="str">
        <x:v>Proposed change</x:v>
      </x:c>
      <x:c r="Z156" s="20" t="str"/>
      <x:c r="AA156" s="21" t="str">
        <x:v>Confirmed as Mary Jean McNamara in the CUNY Classics program.</x:v>
      </x:c>
    </x:row>
    <x:row r="157">
      <x:c r="A157" s="8" t="str">
        <x:v>SAGP001025</x:v>
      </x:c>
      <x:c r="B157" s="8" t="str">
        <x:v>Mehta Dersheet</x:v>
      </x:c>
      <x:c r="C157" s="8" t="str">
        <x:v>Mehta</x:v>
      </x:c>
      <x:c r="D157" s="8" t="str">
        <x:v>Dersheet</x:v>
      </x:c>
      <x:c r="E157" s="8" t="str">
        <x:v>dersheet@gmail.com</x:v>
      </x:c>
      <x:c r="F157" s="8" t="str">
        <x:v>gmail.com</x:v>
      </x:c>
      <x:c r="G157" s="8" t="str"/>
      <x:c r="H157" s="8" t="str"/>
      <x:c r="I157" s="8" t="str"/>
      <x:c r="J157" s="8" t="str"/>
      <x:c r="K157" s="14" t="n">
        <x:v>2026</x:v>
      </x:c>
      <x:c r="L157" s="8" t="str">
        <x:v>Mehta Dersheet</x:v>
      </x:c>
      <x:c r="M157" s="8" t="str">
        <x:v>Mehta</x:v>
      </x:c>
      <x:c r="N157" s="8" t="str">
        <x:v>Dersheet</x:v>
      </x:c>
      <x:c r="O157" s="8" t="str"/>
      <x:c r="P157" s="15" t="str"/>
      <x:c r="Q157" s="8" t="str"/>
      <x:c r="R157" s="8" t="str"/>
      <x:c r="S157" s="15" t="str"/>
      <x:c r="T157" s="8" t="str"/>
      <x:c r="U157" s="8" t="str"/>
      <x:c r="V157" s="15" t="str"/>
      <x:c r="W157" s="8" t="str"/>
      <x:c r="X157" s="8" t="str"/>
      <x:c r="Y157" s="19" t="str">
        <x:v>Needs research</x:v>
      </x:c>
      <x:c r="Z157" s="20" t="str"/>
      <x:c r="AA157" s="21" t="str"/>
    </x:row>
    <x:row r="158">
      <x:c r="A158" s="8" t="str">
        <x:v>SAGP000025</x:v>
      </x:c>
      <x:c r="B158" s="8" t="str">
        <x:v>Miano Lauren</x:v>
      </x:c>
      <x:c r="C158" s="8" t="str">
        <x:v>Miano</x:v>
      </x:c>
      <x:c r="D158" s="8" t="str">
        <x:v>Lauren</x:v>
      </x:c>
      <x:c r="E158" s="8" t="str">
        <x:v>lm1078@princeton.edu</x:v>
      </x:c>
      <x:c r="F158" s="8" t="str">
        <x:v>princeton.edu</x:v>
      </x:c>
      <x:c r="G158" s="8" t="str"/>
      <x:c r="H158" s="8" t="str"/>
      <x:c r="I158" s="8" t="str"/>
      <x:c r="J158" s="8" t="str"/>
      <x:c r="K158" s="14" t="n">
        <x:v>2025</x:v>
      </x:c>
      <x:c r="L158" s="8" t="str">
        <x:v>Miano Lauren</x:v>
      </x:c>
      <x:c r="M158" s="8" t="str">
        <x:v>Miano</x:v>
      </x:c>
      <x:c r="N158" s="8" t="str">
        <x:v>Lauren</x:v>
      </x:c>
      <x:c r="O158" s="8" t="str"/>
      <x:c r="P158" s="15" t="str"/>
      <x:c r="Q158" s="8" t="str">
        <x:v>Princeton University</x:v>
      </x:c>
      <x:c r="R158" s="8" t="str">
        <x:v>High</x:v>
      </x:c>
      <x:c r="S158" s="15" t="str">
        <x:v>Official Princeton profile lists Lauren Miano as a Philosophy PhD student.</x:v>
      </x:c>
      <x:c r="T158" s="8" t="str"/>
      <x:c r="U158" s="8" t="str"/>
      <x:c r="V158" s="15" t="str"/>
      <x:c r="W158" s="8" t="str">
        <x:v>https://yehcollege.princeton.edu/people/lauren-miano</x:v>
      </x:c>
      <x:c r="X158" s="8" t="str">
        <x:v>Institution</x:v>
      </x:c>
      <x:c r="Y158" s="17" t="str">
        <x:v>Proposed change</x:v>
      </x:c>
      <x:c r="Z158" s="20" t="str"/>
      <x:c r="AA158" s="21" t="str"/>
    </x:row>
    <x:row r="159">
      <x:c r="A159" s="8" t="str">
        <x:v>SAGP000665</x:v>
      </x:c>
      <x:c r="B159" s="8" t="str">
        <x:v>Michael Morgan</x:v>
      </x:c>
      <x:c r="C159" s="8" t="str">
        <x:v>Michael</x:v>
      </x:c>
      <x:c r="D159" s="8" t="str">
        <x:v>Morgan</x:v>
      </x:c>
      <x:c r="E159" s="8" t="str">
        <x:v>morganm@iu.edu</x:v>
      </x:c>
      <x:c r="F159" s="8" t="str">
        <x:v>iu.edu</x:v>
      </x:c>
      <x:c r="G159" s="8" t="str"/>
      <x:c r="H159" s="8" t="str"/>
      <x:c r="I159" s="8" t="str"/>
      <x:c r="J159" s="8" t="str"/>
      <x:c r="K159" s="14" t="n">
        <x:v>2028</x:v>
      </x:c>
      <x:c r="L159" s="8" t="str">
        <x:v>Michael Morgan</x:v>
      </x:c>
      <x:c r="M159" s="8" t="str">
        <x:v>Michael</x:v>
      </x:c>
      <x:c r="N159" s="8" t="str">
        <x:v>Morgan</x:v>
      </x:c>
      <x:c r="O159" s="8" t="str"/>
      <x:c r="P159" s="15" t="str"/>
      <x:c r="Q159" s="8" t="str">
        <x:v>Indiana University</x:v>
      </x:c>
      <x:c r="R159" s="8" t="str">
        <x:v>High</x:v>
      </x:c>
      <x:c r="S159" s="15" t="str">
        <x:v>Official Indiana University graduate bulletin lists Michael Morgan as emeritus.</x:v>
      </x:c>
      <x:c r="T159" s="8" t="str"/>
      <x:c r="U159" s="8" t="str"/>
      <x:c r="V159" s="15" t="str"/>
      <x:c r="W159" s="8" t="str">
        <x:v>https://institutionalmemory.iu.edu/aim/bitstreams/9c41cbd8-71fc-42ef-833e-783f04161e4c/download</x:v>
      </x:c>
      <x:c r="X159" s="8" t="str">
        <x:v>Institution</x:v>
      </x:c>
      <x:c r="Y159" s="17" t="str">
        <x:v>Proposed change</x:v>
      </x:c>
      <x:c r="Z159" s="20" t="str"/>
      <x:c r="AA159" s="21" t="str"/>
    </x:row>
    <x:row r="160">
      <x:c r="A160" s="8" t="str">
        <x:v>SAGP000689</x:v>
      </x:c>
      <x:c r="B160" s="8" t="str">
        <x:v>Michael Seidler</x:v>
      </x:c>
      <x:c r="C160" s="8" t="str">
        <x:v>Michael</x:v>
      </x:c>
      <x:c r="D160" s="8" t="str">
        <x:v>Seidler</x:v>
      </x:c>
      <x:c r="E160" s="8" t="str">
        <x:v>michael.seidler@wku.edu</x:v>
      </x:c>
      <x:c r="F160" s="8" t="str">
        <x:v>wku.edu</x:v>
      </x:c>
      <x:c r="G160" s="8" t="str"/>
      <x:c r="H160" s="8" t="str"/>
      <x:c r="I160" s="8" t="str"/>
      <x:c r="J160" s="8" t="str">
        <x:v>KY</x:v>
      </x:c>
      <x:c r="K160" s="14" t="n">
        <x:v>2025</x:v>
      </x:c>
      <x:c r="L160" s="8" t="str">
        <x:v>Michael Seidler</x:v>
      </x:c>
      <x:c r="M160" s="8" t="str">
        <x:v>Michael</x:v>
      </x:c>
      <x:c r="N160" s="8" t="str">
        <x:v>Seidler</x:v>
      </x:c>
      <x:c r="O160" s="8" t="str"/>
      <x:c r="P160" s="15" t="str"/>
      <x:c r="Q160" s="8" t="str">
        <x:v>Western Kentucky University</x:v>
      </x:c>
      <x:c r="R160" s="8" t="str">
        <x:v>High</x:v>
      </x:c>
      <x:c r="S160" s="15" t="str">
        <x:v>Official WKU profile lists Michael J. Seidler and the same email address.</x:v>
      </x:c>
      <x:c r="T160" s="8" t="str"/>
      <x:c r="U160" s="8" t="str"/>
      <x:c r="V160" s="15" t="str"/>
      <x:c r="W160" s="8" t="str">
        <x:v>https://www.wku.edu/political-science/staff/michael_seidler</x:v>
      </x:c>
      <x:c r="X160" s="8" t="str">
        <x:v>Institution</x:v>
      </x:c>
      <x:c r="Y160" s="17" t="str">
        <x:v>Proposed change</x:v>
      </x:c>
      <x:c r="Z160" s="20" t="str"/>
      <x:c r="AA160" s="21" t="str"/>
    </x:row>
    <x:row r="161">
      <x:c r="A161" s="8" t="str">
        <x:v>SAGP000699</x:v>
      </x:c>
      <x:c r="B161" s="8" t="str">
        <x:v>Michele Stanbury</x:v>
      </x:c>
      <x:c r="C161" s="8" t="str">
        <x:v>Michele</x:v>
      </x:c>
      <x:c r="D161" s="8" t="str">
        <x:v>Stanbury</x:v>
      </x:c>
      <x:c r="E161" s="8" t="str">
        <x:v>mstanbur@alumni.nd.edu</x:v>
      </x:c>
      <x:c r="F161" s="8" t="str">
        <x:v>alumni.nd.edu</x:v>
      </x:c>
      <x:c r="G161" s="8" t="str"/>
      <x:c r="H161" s="8" t="str"/>
      <x:c r="I161" s="8" t="str">
        <x:v>US</x:v>
      </x:c>
      <x:c r="J161" s="8" t="str">
        <x:v>IN</x:v>
      </x:c>
      <x:c r="K161" s="14" t="n">
        <x:v>2027</x:v>
      </x:c>
      <x:c r="L161" s="8" t="str">
        <x:v>Michele Stanbury</x:v>
      </x:c>
      <x:c r="M161" s="8" t="str">
        <x:v>Michele</x:v>
      </x:c>
      <x:c r="N161" s="8" t="str">
        <x:v>Stanbury</x:v>
      </x:c>
      <x:c r="O161" s="8" t="str"/>
      <x:c r="P161" s="15" t="str"/>
      <x:c r="Q161" s="8" t="str">
        <x:v>University of Notre Dame</x:v>
      </x:c>
      <x:c r="R161" s="8" t="str">
        <x:v>Medium</x:v>
      </x:c>
      <x:c r="S161" s="15" t="str">
        <x:v>Recent course listings continue to associate Michele Anik Stanbury with Notre Dame instruction, but a current official faculty or staff profile was not located.</x:v>
      </x:c>
      <x:c r="T161" s="8" t="str">
        <x:v>USA Central</x:v>
      </x:c>
      <x:c r="U161" s="8" t="str">
        <x:v>High</x:v>
      </x:c>
      <x:c r="V161" s="15" t="str">
        <x:v>Existing country and state</x:v>
      </x:c>
      <x:c r="W161" s="8" t="str">
        <x:v>https://www.coursicle.com/nd/courses/PLS/43101/</x:v>
      </x:c>
      <x:c r="X161" s="8" t="str">
        <x:v>Institution, Region</x:v>
      </x:c>
      <x:c r="Y161" s="19" t="str">
        <x:v>Needs research</x:v>
      </x:c>
      <x:c r="Z161" s="20" t="str"/>
      <x:c r="AA161" s="21" t="str">
        <x:v>Notre Dame remains the strongest lead, but the alumni email alone does not establish a current appointment.</x:v>
      </x:c>
    </x:row>
    <x:row r="162">
      <x:c r="A162" s="8" t="str">
        <x:v>SAGP000130</x:v>
      </x:c>
      <x:c r="B162" s="8" t="str">
        <x:v>Mitch Miller</x:v>
      </x:c>
      <x:c r="C162" s="8" t="str">
        <x:v>Mitch</x:v>
      </x:c>
      <x:c r="D162" s="8" t="str">
        <x:v>Miller</x:v>
      </x:c>
      <x:c r="E162" s="8" t="str">
        <x:v>mimiller@vassar.edu</x:v>
      </x:c>
      <x:c r="F162" s="8" t="str">
        <x:v>vassar.edu</x:v>
      </x:c>
      <x:c r="G162" s="8" t="str"/>
      <x:c r="H162" s="8" t="str"/>
      <x:c r="I162" s="8" t="str">
        <x:v>US</x:v>
      </x:c>
      <x:c r="J162" s="8" t="str">
        <x:v>NY</x:v>
      </x:c>
      <x:c r="K162" s="14" t="n">
        <x:v>2025</x:v>
      </x:c>
      <x:c r="L162" s="8" t="str">
        <x:v>Mitch Miller</x:v>
      </x:c>
      <x:c r="M162" s="8" t="str">
        <x:v>Mitch</x:v>
      </x:c>
      <x:c r="N162" s="8" t="str">
        <x:v>Miller</x:v>
      </x:c>
      <x:c r="O162" s="8" t="str"/>
      <x:c r="P162" s="15" t="str"/>
      <x:c r="Q162" s="8" t="str">
        <x:v>Vassar College</x:v>
      </x:c>
      <x:c r="R162" s="8" t="str">
        <x:v>High</x:v>
      </x:c>
      <x:c r="S162" s="15" t="str">
        <x:v>The current official Vassar profile lists Mitchell H. Miller as Professor Emeritus of Philosophy and gives the same email address.</x:v>
      </x:c>
      <x:c r="T162" s="8" t="str">
        <x:v>USA Eastern</x:v>
      </x:c>
      <x:c r="U162" s="8" t="str">
        <x:v>High</x:v>
      </x:c>
      <x:c r="V162" s="15" t="str">
        <x:v>Existing country and state</x:v>
      </x:c>
      <x:c r="W162" s="8" t="str">
        <x:v>https://www.vassar.edu/faculty/emeriti/mimiller</x:v>
      </x:c>
      <x:c r="X162" s="8" t="str">
        <x:v>Institution, Region</x:v>
      </x:c>
      <x:c r="Y162" s="17" t="str">
        <x:v>Proposed change</x:v>
      </x:c>
      <x:c r="Z162" s="20" t="str"/>
      <x:c r="AA162" s="21" t="str">
        <x:v>Confirmed current emeritus affiliation.</x:v>
      </x:c>
    </x:row>
    <x:row r="163">
      <x:c r="A163" s="8" t="str">
        <x:v>SAGP001253</x:v>
      </x:c>
      <x:c r="B163" s="8" t="str">
        <x:v>Most Glenn</x:v>
      </x:c>
      <x:c r="C163" s="8" t="str">
        <x:v>Most</x:v>
      </x:c>
      <x:c r="D163" s="8" t="str">
        <x:v>Glenn</x:v>
      </x:c>
      <x:c r="E163" s="8" t="str">
        <x:v>glenn.most@sns.it</x:v>
      </x:c>
      <x:c r="F163" s="8" t="str">
        <x:v>sns.it</x:v>
      </x:c>
      <x:c r="G163" s="8" t="str"/>
      <x:c r="H163" s="8" t="str"/>
      <x:c r="I163" s="8" t="str">
        <x:v>IT</x:v>
      </x:c>
      <x:c r="J163" s="8" t="str"/>
      <x:c r="K163" s="14" t="n">
        <x:v>2026</x:v>
      </x:c>
      <x:c r="L163" s="8" t="str">
        <x:v>Glenn Most</x:v>
      </x:c>
      <x:c r="M163" s="8" t="str">
        <x:v>Glenn</x:v>
      </x:c>
      <x:c r="N163" s="8" t="str">
        <x:v>Most</x:v>
      </x:c>
      <x:c r="O163" s="8" t="str">
        <x:v>High</x:v>
      </x:c>
      <x:c r="P163" s="15" t="str">
        <x:v>Email address pattern strongly supports given-name/surname reversal</x:v>
      </x:c>
      <x:c r="Q163" s="8" t="str">
        <x:v>Scuola Normale Superiore</x:v>
      </x:c>
      <x:c r="R163" s="8" t="str">
        <x:v>High</x:v>
      </x:c>
      <x:c r="S163" s="15" t="str">
        <x:v>Official Scuola Normale Superiore page identifies Glenn Most with the institution.</x:v>
      </x:c>
      <x:c r="T163" s="8" t="str">
        <x:v>Europe</x:v>
      </x:c>
      <x:c r="U163" s="8" t="str">
        <x:v>High</x:v>
      </x:c>
      <x:c r="V163" s="15" t="str">
        <x:v>Existing country</x:v>
      </x:c>
      <x:c r="W163" s="8" t="str">
        <x:v>https://www.sns.it/en/node/361441</x:v>
      </x:c>
      <x:c r="X163" s="8" t="str">
        <x:v>Name, Institution, Region</x:v>
      </x:c>
      <x:c r="Y163" s="17" t="str">
        <x:v>Proposed change</x:v>
      </x:c>
      <x:c r="Z163" s="20" t="str"/>
      <x:c r="AA163" s="21" t="str"/>
    </x:row>
    <x:row r="164">
      <x:c r="A164" s="8" t="str">
        <x:v>SAGP001208</x:v>
      </x:c>
      <x:c r="B164" s="8" t="str">
        <x:v>Nicholas Riegel</x:v>
      </x:c>
      <x:c r="C164" s="8" t="str">
        <x:v>Nicholas</x:v>
      </x:c>
      <x:c r="D164" s="8" t="str">
        <x:v>Riegel</x:v>
      </x:c>
      <x:c r="E164" s="8" t="str">
        <x:v>nicholas.riegel@utoronto.ca</x:v>
      </x:c>
      <x:c r="F164" s="8" t="str">
        <x:v>utoronto.ca</x:v>
      </x:c>
      <x:c r="G164" s="8" t="str"/>
      <x:c r="H164" s="8" t="str"/>
      <x:c r="I164" s="8" t="str">
        <x:v>Canada</x:v>
      </x:c>
      <x:c r="J164" s="8" t="str">
        <x:v>ON</x:v>
      </x:c>
      <x:c r="K164" s="14" t="n">
        <x:v>2025</x:v>
      </x:c>
      <x:c r="L164" s="8" t="str">
        <x:v>Nicholas Riegel</x:v>
      </x:c>
      <x:c r="M164" s="8" t="str">
        <x:v>Nicholas</x:v>
      </x:c>
      <x:c r="N164" s="8" t="str">
        <x:v>Riegel</x:v>
      </x:c>
      <x:c r="O164" s="8" t="str"/>
      <x:c r="P164" s="15" t="str"/>
      <x:c r="Q164" s="8" t="str">
        <x:v>Bern University of Applied Sciences</x:v>
      </x:c>
      <x:c r="R164" s="8" t="str">
        <x:v>Medium</x:v>
      </x:c>
      <x:c r="S164" s="15" t="str">
        <x:v>A current research profile lists Nicholas Riegel at Bern University of Applied Sciences, while Toronto records identify Toronto as his PhD institution.</x:v>
      </x:c>
      <x:c r="T164" s="8" t="str">
        <x:v>Canada</x:v>
      </x:c>
      <x:c r="U164" s="8" t="str">
        <x:v>High</x:v>
      </x:c>
      <x:c r="V164" s="15" t="str">
        <x:v>Existing country</x:v>
      </x:c>
      <x:c r="W164" s="8" t="str">
        <x:v>https://www.researchgate.net/profile/Nicholas-Riegel</x:v>
      </x:c>
      <x:c r="X164" s="8" t="str">
        <x:v>Institution, Region</x:v>
      </x:c>
      <x:c r="Y164" s="19" t="str">
        <x:v>Needs research</x:v>
      </x:c>
      <x:c r="Z164" s="20" t="str"/>
      <x:c r="AA164" s="21" t="str">
        <x:v>Bern is the strongest current lead, but an official BFH directory entry was not located.</x:v>
      </x:c>
    </x:row>
    <x:row r="165">
      <x:c r="A165" s="8" t="str">
        <x:v>SAGP001508</x:v>
      </x:c>
      <x:c r="B165" s="8" t="str">
        <x:v>Oliver Graham</x:v>
      </x:c>
      <x:c r="C165" s="8" t="str">
        <x:v>Oliver</x:v>
      </x:c>
      <x:c r="D165" s="8" t="str">
        <x:v>Graham</x:v>
      </x:c>
      <x:c r="E165" s="8" t="str">
        <x:v>graham_oliver@brown.edu</x:v>
      </x:c>
      <x:c r="F165" s="8" t="str">
        <x:v>brown.edu</x:v>
      </x:c>
      <x:c r="G165" s="8" t="str"/>
      <x:c r="H165" s="8" t="str"/>
      <x:c r="I165" s="8" t="str"/>
      <x:c r="J165" s="8" t="str"/>
      <x:c r="K165" s="14" t="n">
        <x:v>2030</x:v>
      </x:c>
      <x:c r="L165" s="8" t="str">
        <x:v>Graham Oliver</x:v>
      </x:c>
      <x:c r="M165" s="8" t="str">
        <x:v>Graham</x:v>
      </x:c>
      <x:c r="N165" s="8" t="str">
        <x:v>Oliver</x:v>
      </x:c>
      <x:c r="O165" s="8" t="str">
        <x:v>High</x:v>
      </x:c>
      <x:c r="P165" s="15" t="str">
        <x:v>Email address pattern strongly supports given-name/surname reversal</x:v>
      </x:c>
      <x:c r="Q165" s="8" t="str">
        <x:v>Brown University</x:v>
      </x:c>
      <x:c r="R165" s="8" t="str">
        <x:v>High</x:v>
      </x:c>
      <x:c r="S165" s="15" t="str">
        <x:v>Official Brown University profile lists Graham Oliver.</x:v>
      </x:c>
      <x:c r="T165" s="8" t="str"/>
      <x:c r="U165" s="8" t="str"/>
      <x:c r="V165" s="15" t="str"/>
      <x:c r="W165" s="8" t="str">
        <x:v>https://history.brown.edu/people/graham-oliver</x:v>
      </x:c>
      <x:c r="X165" s="8" t="str">
        <x:v>Name, Institution</x:v>
      </x:c>
      <x:c r="Y165" s="17" t="str">
        <x:v>Proposed change</x:v>
      </x:c>
      <x:c r="Z165" s="20" t="str"/>
      <x:c r="AA165" s="21" t="str"/>
    </x:row>
    <x:row r="166">
      <x:c r="A166" s="8" t="str">
        <x:v>SAGP001658</x:v>
      </x:c>
      <x:c r="B166" s="8" t="str">
        <x:v>Oosthout Arthur</x:v>
      </x:c>
      <x:c r="C166" s="8" t="str">
        <x:v>Oosthout</x:v>
      </x:c>
      <x:c r="D166" s="8" t="str">
        <x:v>Arthur</x:v>
      </x:c>
      <x:c r="E166" s="8" t="str">
        <x:v>arthurhenri.oosthout@kuleuven.be</x:v>
      </x:c>
      <x:c r="F166" s="8" t="str">
        <x:v>kuleuven.be</x:v>
      </x:c>
      <x:c r="G166" s="8" t="str"/>
      <x:c r="H166" s="8" t="str"/>
      <x:c r="I166" s="8" t="str"/>
      <x:c r="J166" s="8" t="str"/>
      <x:c r="K166" s="14" t="n">
        <x:v>2028</x:v>
      </x:c>
      <x:c r="L166" s="8" t="str">
        <x:v>Arthur Oosthout</x:v>
      </x:c>
      <x:c r="M166" s="8" t="str">
        <x:v>Arthur</x:v>
      </x:c>
      <x:c r="N166" s="8" t="str">
        <x:v>Oosthout</x:v>
      </x:c>
      <x:c r="O166" s="8" t="str">
        <x:v>High</x:v>
      </x:c>
      <x:c r="P166" s="15" t="str">
        <x:v>Email address pattern strongly supports given-name/surname reversal</x:v>
      </x:c>
      <x:c r="Q166" s="8" t="str">
        <x:v>KU Leuven</x:v>
      </x:c>
      <x:c r="R166" s="8" t="str">
        <x:v>High</x:v>
      </x:c>
      <x:c r="S166" s="15" t="str">
        <x:v>Official KU Leuven directory lists Arthur Henri Oosthout.</x:v>
      </x:c>
      <x:c r="T166" s="8" t="str">
        <x:v>Europe</x:v>
      </x:c>
      <x:c r="U166" s="8" t="str">
        <x:v>Medium</x:v>
      </x:c>
      <x:c r="V166" s="15" t="str">
        <x:v>Institutional email country domain</x:v>
      </x:c>
      <x:c r="W166" s="8" t="str">
        <x:v>https://www.kuleuven.be/wieiswie/en/person/00125313</x:v>
      </x:c>
      <x:c r="X166" s="8" t="str">
        <x:v>Name, Institution, Region</x:v>
      </x:c>
      <x:c r="Y166" s="17" t="str">
        <x:v>Proposed change</x:v>
      </x:c>
      <x:c r="Z166" s="20" t="str"/>
      <x:c r="AA166" s="21" t="str"/>
    </x:row>
    <x:row r="167">
      <x:c r="A167" s="8" t="str">
        <x:v>SAGP000737</x:v>
      </x:c>
      <x:c r="B167" s="8" t="str">
        <x:v>Owen Goldin</x:v>
      </x:c>
      <x:c r="C167" s="8" t="str">
        <x:v>Owen</x:v>
      </x:c>
      <x:c r="D167" s="8" t="str">
        <x:v>Goldin</x:v>
      </x:c>
      <x:c r="E167" s="8" t="str">
        <x:v>owen.goldin@marquette.edu</x:v>
      </x:c>
      <x:c r="F167" s="8" t="str">
        <x:v>marquette.edu</x:v>
      </x:c>
      <x:c r="G167" s="8" t="str">
        <x:v>Marquette University</x:v>
      </x:c>
      <x:c r="H167" s="8" t="str">
        <x:v>USA Central</x:v>
      </x:c>
      <x:c r="I167" s="8" t="str">
        <x:v>US</x:v>
      </x:c>
      <x:c r="J167" s="8" t="str">
        <x:v>WI</x:v>
      </x:c>
      <x:c r="K167" s="14" t="n">
        <x:v>2027</x:v>
      </x:c>
      <x:c r="L167" s="8" t="str">
        <x:v>Owen Goldin</x:v>
      </x:c>
      <x:c r="M167" s="8" t="str">
        <x:v>Owen</x:v>
      </x:c>
      <x:c r="N167" s="8" t="str">
        <x:v>Goldin</x:v>
      </x:c>
      <x:c r="O167" s="8" t="str"/>
      <x:c r="P167" s="15" t="str"/>
      <x:c r="Q167" s="8" t="str">
        <x:v>Marquette University</x:v>
      </x:c>
      <x:c r="R167" s="8" t="str">
        <x:v>Existing</x:v>
      </x:c>
      <x:c r="S167" s="15" t="str">
        <x:v>Existing database value</x:v>
      </x:c>
      <x:c r="T167" s="8" t="str">
        <x:v>USA Central</x:v>
      </x:c>
      <x:c r="U167" s="8" t="str">
        <x:v>Existing</x:v>
      </x:c>
      <x:c r="V167" s="15" t="str">
        <x:v>Existing database value</x:v>
      </x:c>
      <x:c r="W167" s="8" t="str"/>
      <x:c r="X167" s="8" t="str"/>
      <x:c r="Y167" s="8" t="str">
        <x:v>No change proposed</x:v>
      </x:c>
      <x:c r="Z167" s="20" t="str"/>
      <x:c r="AA167" s="21" t="str"/>
    </x:row>
    <x:row r="168">
      <x:c r="A168" s="8" t="str">
        <x:v>SAGP001181</x:v>
      </x:c>
      <x:c r="B168" s="8" t="str">
        <x:v>Oz Lorentzen</x:v>
      </x:c>
      <x:c r="C168" s="8" t="str">
        <x:v>Oz</x:v>
      </x:c>
      <x:c r="D168" s="8" t="str">
        <x:v>Lorentzen</x:v>
      </x:c>
      <x:c r="E168" s="8" t="str">
        <x:v>oalorent@yahoo.com</x:v>
      </x:c>
      <x:c r="F168" s="8" t="str">
        <x:v>yahoo.com</x:v>
      </x:c>
      <x:c r="G168" s="8" t="str"/>
      <x:c r="H168" s="8" t="str"/>
      <x:c r="I168" s="8" t="str"/>
      <x:c r="J168" s="8" t="str"/>
      <x:c r="K168" s="14" t="n">
        <x:v>2029</x:v>
      </x:c>
      <x:c r="L168" s="8" t="str">
        <x:v>Oz Lorentzen</x:v>
      </x:c>
      <x:c r="M168" s="8" t="str">
        <x:v>Oz</x:v>
      </x:c>
      <x:c r="N168" s="8" t="str">
        <x:v>Lorentzen</x:v>
      </x:c>
      <x:c r="O168" s="8" t="str"/>
      <x:c r="P168" s="15" t="str"/>
      <x:c r="Q168" s="8" t="str"/>
      <x:c r="R168" s="8" t="str"/>
      <x:c r="S168" s="15" t="str"/>
      <x:c r="T168" s="8" t="str"/>
      <x:c r="U168" s="8" t="str"/>
      <x:c r="V168" s="15" t="str"/>
      <x:c r="W168" s="8" t="str"/>
      <x:c r="X168" s="8" t="str"/>
      <x:c r="Y168" s="19" t="str">
        <x:v>Needs research</x:v>
      </x:c>
      <x:c r="Z168" s="20" t="str"/>
      <x:c r="AA168" s="21" t="str"/>
    </x:row>
    <x:row r="169">
      <x:c r="A169" s="8" t="str">
        <x:v>SAGP001664</x:v>
      </x:c>
      <x:c r="B169" s="8" t="str">
        <x:v>Pacewicz Artur i</x:v>
      </x:c>
      <x:c r="C169" s="8" t="str">
        <x:v>Pacewicz</x:v>
      </x:c>
      <x:c r="D169" s="8" t="str">
        <x:v>Artur</x:v>
      </x:c>
      <x:c r="E169" s="8" t="str">
        <x:v>art_pac@wp.pl</x:v>
      </x:c>
      <x:c r="F169" s="8" t="str">
        <x:v>wp.pl</x:v>
      </x:c>
      <x:c r="G169" s="8" t="str"/>
      <x:c r="H169" s="8" t="str"/>
      <x:c r="I169" s="8" t="str"/>
      <x:c r="J169" s="8" t="str"/>
      <x:c r="K169" s="14" t="n">
        <x:v>2026</x:v>
      </x:c>
      <x:c r="L169" s="8" t="str">
        <x:v>Pacewicz Artur i</x:v>
      </x:c>
      <x:c r="M169" s="8" t="str">
        <x:v>Pacewicz</x:v>
      </x:c>
      <x:c r="N169" s="8" t="str">
        <x:v>Artur</x:v>
      </x:c>
      <x:c r="O169" s="8" t="str"/>
      <x:c r="P169" s="15" t="str"/>
      <x:c r="Q169" s="8" t="str"/>
      <x:c r="R169" s="8" t="str"/>
      <x:c r="S169" s="15" t="str"/>
      <x:c r="T169" s="8" t="str">
        <x:v>Europe</x:v>
      </x:c>
      <x:c r="U169" s="8" t="str">
        <x:v>Medium</x:v>
      </x:c>
      <x:c r="V169" s="15" t="str">
        <x:v>Institutional email country domain</x:v>
      </x:c>
      <x:c r="W169" s="8" t="str"/>
      <x:c r="X169" s="8" t="str">
        <x:v>Region</x:v>
      </x:c>
      <x:c r="Y169" s="17" t="str">
        <x:v>Proposed change</x:v>
      </x:c>
      <x:c r="Z169" s="20" t="str"/>
      <x:c r="AA169" s="21" t="str"/>
    </x:row>
    <x:row r="170">
      <x:c r="A170" s="8" t="str">
        <x:v>SAGP000571</x:v>
      </x:c>
      <x:c r="B170" s="8" t="str">
        <x:v>Panagiotis Thanassas</x:v>
      </x:c>
      <x:c r="C170" s="8" t="str">
        <x:v>Panagiotis</x:v>
      </x:c>
      <x:c r="D170" s="8" t="str">
        <x:v>Thanassas</x:v>
      </x:c>
      <x:c r="E170" s="8" t="str">
        <x:v>pan@thanassas.gr</x:v>
      </x:c>
      <x:c r="F170" s="8" t="str">
        <x:v>thanassas.gr</x:v>
      </x:c>
      <x:c r="G170" s="8" t="str"/>
      <x:c r="H170" s="8" t="str"/>
      <x:c r="I170" s="8" t="str"/>
      <x:c r="J170" s="8" t="str"/>
      <x:c r="K170" s="14" t="n">
        <x:v>2028</x:v>
      </x:c>
      <x:c r="L170" s="8" t="str">
        <x:v>Panagiotis Thanassas</x:v>
      </x:c>
      <x:c r="M170" s="8" t="str">
        <x:v>Panagiotis</x:v>
      </x:c>
      <x:c r="N170" s="8" t="str">
        <x:v>Thanassas</x:v>
      </x:c>
      <x:c r="O170" s="8" t="str"/>
      <x:c r="P170" s="15" t="str"/>
      <x:c r="Q170" s="8" t="str"/>
      <x:c r="R170" s="8" t="str"/>
      <x:c r="S170" s="15" t="str"/>
      <x:c r="T170" s="8" t="str">
        <x:v>Europe</x:v>
      </x:c>
      <x:c r="U170" s="8" t="str">
        <x:v>Medium</x:v>
      </x:c>
      <x:c r="V170" s="15" t="str">
        <x:v>Institutional email country domain</x:v>
      </x:c>
      <x:c r="W170" s="8" t="str"/>
      <x:c r="X170" s="8" t="str">
        <x:v>Region</x:v>
      </x:c>
      <x:c r="Y170" s="17" t="str">
        <x:v>Proposed change</x:v>
      </x:c>
      <x:c r="Z170" s="20" t="str"/>
      <x:c r="AA170" s="21" t="str"/>
    </x:row>
    <x:row r="171">
      <x:c r="A171" s="8" t="str">
        <x:v>SAGP001601</x:v>
      </x:c>
      <x:c r="B171" s="8" t="str">
        <x:v>Paolo Madella</x:v>
      </x:c>
      <x:c r="C171" s="8" t="str">
        <x:v>Paolo</x:v>
      </x:c>
      <x:c r="D171" s="8" t="str">
        <x:v>Madella</x:v>
      </x:c>
      <x:c r="E171" s="8" t="str">
        <x:v>pmadella68@gmail.com</x:v>
      </x:c>
      <x:c r="F171" s="8" t="str">
        <x:v>gmail.com</x:v>
      </x:c>
      <x:c r="G171" s="8" t="str"/>
      <x:c r="H171" s="8" t="str"/>
      <x:c r="I171" s="8" t="str"/>
      <x:c r="J171" s="8" t="str"/>
      <x:c r="K171" s="14" t="n">
        <x:v>2027</x:v>
      </x:c>
      <x:c r="L171" s="8" t="str">
        <x:v>Paolo Madella</x:v>
      </x:c>
      <x:c r="M171" s="8" t="str">
        <x:v>Paolo</x:v>
      </x:c>
      <x:c r="N171" s="8" t="str">
        <x:v>Madella</x:v>
      </x:c>
      <x:c r="O171" s="8" t="str"/>
      <x:c r="P171" s="15" t="str"/>
      <x:c r="Q171" s="8" t="str"/>
      <x:c r="R171" s="8" t="str"/>
      <x:c r="S171" s="15" t="str"/>
      <x:c r="T171" s="8" t="str"/>
      <x:c r="U171" s="8" t="str"/>
      <x:c r="V171" s="15" t="str"/>
      <x:c r="W171" s="8" t="str"/>
      <x:c r="X171" s="8" t="str"/>
      <x:c r="Y171" s="19" t="str">
        <x:v>Needs research</x:v>
      </x:c>
      <x:c r="Z171" s="20" t="str"/>
      <x:c r="AA171" s="21" t="str"/>
    </x:row>
    <x:row r="172">
      <x:c r="A172" s="8" t="str">
        <x:v>SAGP001035</x:v>
      </x:c>
      <x:c r="B172" s="8" t="str">
        <x:v>Patricio Fernández</x:v>
      </x:c>
      <x:c r="C172" s="8" t="str">
        <x:v>Patricio</x:v>
      </x:c>
      <x:c r="D172" s="8" t="str">
        <x:v>Fernández</x:v>
      </x:c>
      <x:c r="E172" s="8" t="str">
        <x:v>pfernandez@utexas.edu</x:v>
      </x:c>
      <x:c r="F172" s="8" t="str">
        <x:v>utexas.edu</x:v>
      </x:c>
      <x:c r="G172" s="8" t="str">
        <x:v>University of Texas Austin</x:v>
      </x:c>
      <x:c r="H172" s="8" t="str">
        <x:v>USA Central</x:v>
      </x:c>
      <x:c r="I172" s="8" t="str">
        <x:v>US</x:v>
      </x:c>
      <x:c r="J172" s="8" t="str">
        <x:v>CA</x:v>
      </x:c>
      <x:c r="K172" s="14" t="n">
        <x:v>2031</x:v>
      </x:c>
      <x:c r="L172" s="8" t="str">
        <x:v>Patricio Fernández</x:v>
      </x:c>
      <x:c r="M172" s="8" t="str">
        <x:v>Patricio</x:v>
      </x:c>
      <x:c r="N172" s="8" t="str">
        <x:v>Fernández</x:v>
      </x:c>
      <x:c r="O172" s="8" t="str"/>
      <x:c r="P172" s="15" t="str"/>
      <x:c r="Q172" s="8" t="str">
        <x:v>University of Texas Austin</x:v>
      </x:c>
      <x:c r="R172" s="8" t="str">
        <x:v>Existing</x:v>
      </x:c>
      <x:c r="S172" s="15" t="str">
        <x:v>Existing database value</x:v>
      </x:c>
      <x:c r="T172" s="8" t="str">
        <x:v>USA Central</x:v>
      </x:c>
      <x:c r="U172" s="8" t="str">
        <x:v>Existing</x:v>
      </x:c>
      <x:c r="V172" s="15" t="str">
        <x:v>Existing database value</x:v>
      </x:c>
      <x:c r="W172" s="8" t="str"/>
      <x:c r="X172" s="8" t="str"/>
      <x:c r="Y172" s="8" t="str">
        <x:v>No change proposed</x:v>
      </x:c>
      <x:c r="Z172" s="20" t="str"/>
      <x:c r="AA172" s="21" t="str"/>
    </x:row>
    <x:row r="173">
      <x:c r="A173" s="8" t="str">
        <x:v>SAGP001070</x:v>
      </x:c>
      <x:c r="B173" s="8" t="str">
        <x:v>Peggy Lance Little</x:v>
      </x:c>
      <x:c r="C173" s="8" t="str">
        <x:v>Peggy Lance</x:v>
      </x:c>
      <x:c r="D173" s="8" t="str">
        <x:v>Little</x:v>
      </x:c>
      <x:c r="E173" s="8" t="str">
        <x:v>homebuyercare@msn.com</x:v>
      </x:c>
      <x:c r="F173" s="8" t="str">
        <x:v>msn.com</x:v>
      </x:c>
      <x:c r="G173" s="8" t="str"/>
      <x:c r="H173" s="8" t="str"/>
      <x:c r="I173" s="8" t="str"/>
      <x:c r="J173" s="8" t="str"/>
      <x:c r="K173" s="14" t="n">
        <x:v>2028</x:v>
      </x:c>
      <x:c r="L173" s="8" t="str">
        <x:v>Peggy Lance Little</x:v>
      </x:c>
      <x:c r="M173" s="8" t="str">
        <x:v>Peggy Lance</x:v>
      </x:c>
      <x:c r="N173" s="8" t="str">
        <x:v>Little</x:v>
      </x:c>
      <x:c r="O173" s="8" t="str"/>
      <x:c r="P173" s="15" t="str"/>
      <x:c r="Q173" s="8" t="str"/>
      <x:c r="R173" s="8" t="str"/>
      <x:c r="S173" s="15" t="str"/>
      <x:c r="T173" s="8" t="str"/>
      <x:c r="U173" s="8" t="str"/>
      <x:c r="V173" s="15" t="str"/>
      <x:c r="W173" s="8" t="str"/>
      <x:c r="X173" s="8" t="str"/>
      <x:c r="Y173" s="19" t="str">
        <x:v>Needs research</x:v>
      </x:c>
      <x:c r="Z173" s="20" t="str"/>
      <x:c r="AA173" s="21" t="str"/>
    </x:row>
    <x:row r="174">
      <x:c r="A174" s="8" t="str">
        <x:v>SAGP001258</x:v>
      </x:c>
      <x:c r="B174" s="8" t="str">
        <x:v>Phelps Cole</x:v>
      </x:c>
      <x:c r="C174" s="8" t="str">
        <x:v>Phelps</x:v>
      </x:c>
      <x:c r="D174" s="8" t="str">
        <x:v>Cole</x:v>
      </x:c>
      <x:c r="E174" s="8" t="str">
        <x:v>cole.phelps@philosophy.ox.ac.uk</x:v>
      </x:c>
      <x:c r="F174" s="8" t="str">
        <x:v>philosophy.ox.ac.uk</x:v>
      </x:c>
      <x:c r="G174" s="8" t="str">
        <x:v>Oxford University</x:v>
      </x:c>
      <x:c r="H174" s="8" t="str"/>
      <x:c r="I174" s="8" t="str">
        <x:v>GB</x:v>
      </x:c>
      <x:c r="J174" s="8" t="str"/>
      <x:c r="K174" s="14" t="n">
        <x:v>2025</x:v>
      </x:c>
      <x:c r="L174" s="8" t="str">
        <x:v>Cole Phelps</x:v>
      </x:c>
      <x:c r="M174" s="8" t="str">
        <x:v>Cole</x:v>
      </x:c>
      <x:c r="N174" s="8" t="str">
        <x:v>Phelps</x:v>
      </x:c>
      <x:c r="O174" s="8" t="str">
        <x:v>High</x:v>
      </x:c>
      <x:c r="P174" s="15" t="str">
        <x:v>Email address pattern strongly supports given-name/surname reversal</x:v>
      </x:c>
      <x:c r="Q174" s="8" t="str">
        <x:v>Oxford University</x:v>
      </x:c>
      <x:c r="R174" s="8" t="str">
        <x:v>Existing</x:v>
      </x:c>
      <x:c r="S174" s="15" t="str">
        <x:v>Existing database value</x:v>
      </x:c>
      <x:c r="T174" s="8" t="str">
        <x:v>Europe</x:v>
      </x:c>
      <x:c r="U174" s="8" t="str">
        <x:v>High</x:v>
      </x:c>
      <x:c r="V174" s="15" t="str">
        <x:v>Existing country</x:v>
      </x:c>
      <x:c r="W174" s="8" t="str"/>
      <x:c r="X174" s="8" t="str">
        <x:v>Name, Region</x:v>
      </x:c>
      <x:c r="Y174" s="17" t="str">
        <x:v>Proposed change</x:v>
      </x:c>
      <x:c r="Z174" s="20" t="str"/>
      <x:c r="AA174" s="21" t="str"/>
    </x:row>
    <x:row r="175">
      <x:c r="A175" s="8" t="str">
        <x:v>SAGP001767</x:v>
      </x:c>
      <x:c r="B175" s="8" t="str">
        <x:v>Philip Sutherland SJ</x:v>
      </x:c>
      <x:c r="C175" s="8" t="str">
        <x:v>Philip</x:v>
      </x:c>
      <x:c r="D175" s="8" t="str">
        <x:v>Sutherland SJ</x:v>
      </x:c>
      <x:c r="E175" s="8" t="str">
        <x:v>sutherland.philip@gmail.com</x:v>
      </x:c>
      <x:c r="F175" s="8" t="str">
        <x:v>gmail.com</x:v>
      </x:c>
      <x:c r="G175" s="8" t="str">
        <x:v>Marquette University</x:v>
      </x:c>
      <x:c r="H175" s="8" t="str">
        <x:v>USA Central</x:v>
      </x:c>
      <x:c r="I175" s="8" t="str">
        <x:v>US</x:v>
      </x:c>
      <x:c r="J175" s="8" t="str">
        <x:v>MA</x:v>
      </x:c>
      <x:c r="K175" s="14" t="n">
        <x:v>2027</x:v>
      </x:c>
      <x:c r="L175" s="8" t="str">
        <x:v>Philip Sutherland SJ</x:v>
      </x:c>
      <x:c r="M175" s="8" t="str">
        <x:v>Philip</x:v>
      </x:c>
      <x:c r="N175" s="8" t="str">
        <x:v>Sutherland SJ</x:v>
      </x:c>
      <x:c r="O175" s="8" t="str"/>
      <x:c r="P175" s="15" t="str"/>
      <x:c r="Q175" s="8" t="str">
        <x:v>Marquette University</x:v>
      </x:c>
      <x:c r="R175" s="8" t="str">
        <x:v>Existing</x:v>
      </x:c>
      <x:c r="S175" s="15" t="str">
        <x:v>Existing database value</x:v>
      </x:c>
      <x:c r="T175" s="8" t="str">
        <x:v>USA Central</x:v>
      </x:c>
      <x:c r="U175" s="8" t="str">
        <x:v>Existing</x:v>
      </x:c>
      <x:c r="V175" s="15" t="str">
        <x:v>Existing database value</x:v>
      </x:c>
      <x:c r="W175" s="8" t="str"/>
      <x:c r="X175" s="8" t="str"/>
      <x:c r="Y175" s="8" t="str">
        <x:v>No change proposed</x:v>
      </x:c>
      <x:c r="Z175" s="20" t="str"/>
      <x:c r="AA175" s="21" t="str"/>
    </x:row>
    <x:row r="176">
      <x:c r="A176" s="8" t="str">
        <x:v>SAGP000972</x:v>
      </x:c>
      <x:c r="B176" s="8" t="str">
        <x:v>Rachana Kamtekar</x:v>
      </x:c>
      <x:c r="C176" s="8" t="str">
        <x:v>Rachana</x:v>
      </x:c>
      <x:c r="D176" s="8" t="str">
        <x:v>Kamtekar</x:v>
      </x:c>
      <x:c r="E176" s="8" t="str">
        <x:v>rk579@cornell.edu</x:v>
      </x:c>
      <x:c r="F176" s="8" t="str">
        <x:v>cornell.edu</x:v>
      </x:c>
      <x:c r="G176" s="8" t="str"/>
      <x:c r="H176" s="8" t="str"/>
      <x:c r="I176" s="8" t="str"/>
      <x:c r="J176" s="8" t="str"/>
      <x:c r="K176" s="14" t="n">
        <x:v>2030</x:v>
      </x:c>
      <x:c r="L176" s="8" t="str">
        <x:v>Rachana Kamtekar</x:v>
      </x:c>
      <x:c r="M176" s="8" t="str">
        <x:v>Rachana</x:v>
      </x:c>
      <x:c r="N176" s="8" t="str">
        <x:v>Kamtekar</x:v>
      </x:c>
      <x:c r="O176" s="8" t="str"/>
      <x:c r="P176" s="15" t="str"/>
      <x:c r="Q176" s="8" t="str">
        <x:v>Cornell University</x:v>
      </x:c>
      <x:c r="R176" s="8" t="str">
        <x:v>High</x:v>
      </x:c>
      <x:c r="S176" s="15" t="str">
        <x:v>Official Cornell profile lists Rachana Kamtekar and the same email address.</x:v>
      </x:c>
      <x:c r="T176" s="8" t="str"/>
      <x:c r="U176" s="8" t="str"/>
      <x:c r="V176" s="15" t="str"/>
      <x:c r="W176" s="8" t="str">
        <x:v>https://philosophy.cornell.edu/rachana-kamtekar</x:v>
      </x:c>
      <x:c r="X176" s="8" t="str">
        <x:v>Institution</x:v>
      </x:c>
      <x:c r="Y176" s="17" t="str">
        <x:v>Proposed change</x:v>
      </x:c>
      <x:c r="Z176" s="20" t="str"/>
      <x:c r="AA176" s="21" t="str"/>
    </x:row>
    <x:row r="177">
      <x:c r="A177" s="8" t="str">
        <x:v>SAGP001197</x:v>
      </x:c>
      <x:c r="B177" s="8" t="str">
        <x:v>Rich Neels</x:v>
      </x:c>
      <x:c r="C177" s="8" t="str">
        <x:v>Rich</x:v>
      </x:c>
      <x:c r="D177" s="8" t="str">
        <x:v>Neels</x:v>
      </x:c>
      <x:c r="E177" s="8" t="str">
        <x:v>richardjneels@gmail.com</x:v>
      </x:c>
      <x:c r="F177" s="8" t="str">
        <x:v>gmail.com</x:v>
      </x:c>
      <x:c r="G177" s="8" t="str"/>
      <x:c r="H177" s="8" t="str"/>
      <x:c r="I177" s="8" t="str">
        <x:v>CA</x:v>
      </x:c>
      <x:c r="J177" s="8" t="str">
        <x:v>ON</x:v>
      </x:c>
      <x:c r="K177" s="14" t="n">
        <x:v>2028</x:v>
      </x:c>
      <x:c r="L177" s="8" t="str">
        <x:v>Rich Neels</x:v>
      </x:c>
      <x:c r="M177" s="8" t="str">
        <x:v>Rich</x:v>
      </x:c>
      <x:c r="N177" s="8" t="str">
        <x:v>Neels</x:v>
      </x:c>
      <x:c r="O177" s="8" t="str"/>
      <x:c r="P177" s="15" t="str"/>
      <x:c r="Q177" s="8" t="str"/>
      <x:c r="R177" s="8" t="str"/>
      <x:c r="S177" s="15" t="str"/>
      <x:c r="T177" s="8" t="str">
        <x:v>Canada</x:v>
      </x:c>
      <x:c r="U177" s="8" t="str">
        <x:v>High</x:v>
      </x:c>
      <x:c r="V177" s="15" t="str">
        <x:v>Existing country</x:v>
      </x:c>
      <x:c r="W177" s="8" t="str"/>
      <x:c r="X177" s="8" t="str">
        <x:v>Region</x:v>
      </x:c>
      <x:c r="Y177" s="17" t="str">
        <x:v>Proposed change</x:v>
      </x:c>
      <x:c r="Z177" s="20" t="str"/>
      <x:c r="AA177" s="21" t="str"/>
    </x:row>
    <x:row r="178">
      <x:c r="A178" s="8" t="str">
        <x:v>SAGP001450</x:v>
      </x:c>
      <x:c r="B178" s="8" t="str">
        <x:v>Richard DeWitt</x:v>
      </x:c>
      <x:c r="C178" s="8" t="str">
        <x:v>Richard</x:v>
      </x:c>
      <x:c r="D178" s="8" t="str">
        <x:v>DeWitt</x:v>
      </x:c>
      <x:c r="E178" s="8" t="str">
        <x:v>rdewitt@fairfield.edu</x:v>
      </x:c>
      <x:c r="F178" s="8" t="str">
        <x:v>fairfield.edu</x:v>
      </x:c>
      <x:c r="G178" s="8" t="str"/>
      <x:c r="H178" s="8" t="str"/>
      <x:c r="I178" s="8" t="str"/>
      <x:c r="J178" s="8" t="str">
        <x:v>CT</x:v>
      </x:c>
      <x:c r="K178" s="14" t="n">
        <x:v>2025</x:v>
      </x:c>
      <x:c r="L178" s="8" t="str">
        <x:v>Richard DeWitt</x:v>
      </x:c>
      <x:c r="M178" s="8" t="str">
        <x:v>Richard</x:v>
      </x:c>
      <x:c r="N178" s="8" t="str">
        <x:v>DeWitt</x:v>
      </x:c>
      <x:c r="O178" s="8" t="str"/>
      <x:c r="P178" s="15" t="str"/>
      <x:c r="Q178" s="8" t="str">
        <x:v>Fairfield University</x:v>
      </x:c>
      <x:c r="R178" s="8" t="str">
        <x:v>High</x:v>
      </x:c>
      <x:c r="S178" s="15" t="str">
        <x:v>Official Fairfield directory lists Richard DeWitt in Philosophy.</x:v>
      </x:c>
      <x:c r="T178" s="8" t="str"/>
      <x:c r="U178" s="8" t="str"/>
      <x:c r="V178" s="15" t="str"/>
      <x:c r="W178" s="8" t="str">
        <x:v>https://catalog.fairfield.edu/undergraduate/arts-sciences/directory/</x:v>
      </x:c>
      <x:c r="X178" s="8" t="str">
        <x:v>Institution</x:v>
      </x:c>
      <x:c r="Y178" s="17" t="str">
        <x:v>Proposed change</x:v>
      </x:c>
      <x:c r="Z178" s="20" t="str"/>
      <x:c r="AA178" s="21" t="str"/>
    </x:row>
    <x:row r="179">
      <x:c r="A179" s="8" t="str">
        <x:v>SAGP000317</x:v>
      </x:c>
      <x:c r="B179" s="8" t="str">
        <x:v>Richard Klonoski</x:v>
      </x:c>
      <x:c r="C179" s="8" t="str">
        <x:v>Richard</x:v>
      </x:c>
      <x:c r="D179" s="8" t="str">
        <x:v>Klonoski</x:v>
      </x:c>
      <x:c r="E179" s="8" t="str">
        <x:v>richard.klonoski@scranton.edu</x:v>
      </x:c>
      <x:c r="F179" s="8" t="str">
        <x:v>scranton.edu</x:v>
      </x:c>
      <x:c r="G179" s="8" t="str"/>
      <x:c r="H179" s="8" t="str"/>
      <x:c r="I179" s="8" t="str">
        <x:v>US ::: US</x:v>
      </x:c>
      <x:c r="J179" s="8" t="str">
        <x:v>PA ::: PA</x:v>
      </x:c>
      <x:c r="K179" s="14" t="n">
        <x:v>2025</x:v>
      </x:c>
      <x:c r="L179" s="8" t="str">
        <x:v>Richard Klonoski</x:v>
      </x:c>
      <x:c r="M179" s="8" t="str">
        <x:v>Richard</x:v>
      </x:c>
      <x:c r="N179" s="8" t="str">
        <x:v>Klonoski</x:v>
      </x:c>
      <x:c r="O179" s="8" t="str"/>
      <x:c r="P179" s="15" t="str"/>
      <x:c r="Q179" s="8" t="str">
        <x:v>University of Scranton</x:v>
      </x:c>
      <x:c r="R179" s="8" t="str">
        <x:v>High</x:v>
      </x:c>
      <x:c r="S179" s="15" t="str">
        <x:v>Official University of Scranton profile lists Richard (Rick) Klonoski as Professor of Philosophy.</x:v>
      </x:c>
      <x:c r="T179" s="8" t="str"/>
      <x:c r="U179" s="8" t="str"/>
      <x:c r="V179" s="15" t="str"/>
      <x:c r="W179" s="8" t="str">
        <x:v>https://admissions.scranton.edu/academic-programs/faculty-profiles/klonoski.shtml</x:v>
      </x:c>
      <x:c r="X179" s="8" t="str">
        <x:v>Institution</x:v>
      </x:c>
      <x:c r="Y179" s="17" t="str">
        <x:v>Proposed change</x:v>
      </x:c>
      <x:c r="Z179" s="20" t="str"/>
      <x:c r="AA179" s="21" t="str"/>
    </x:row>
    <x:row r="180">
      <x:c r="A180" s="8" t="str">
        <x:v>SAGP001079</x:v>
      </x:c>
      <x:c r="B180" s="8" t="str">
        <x:v>Richard McKirahan</x:v>
      </x:c>
      <x:c r="C180" s="8" t="str">
        <x:v>Richard</x:v>
      </x:c>
      <x:c r="D180" s="8" t="str">
        <x:v>McKirahan</x:v>
      </x:c>
      <x:c r="E180" s="8" t="str">
        <x:v>rmckirahan@pomona.edu</x:v>
      </x:c>
      <x:c r="F180" s="8" t="str">
        <x:v>pomona.edu</x:v>
      </x:c>
      <x:c r="G180" s="8" t="str"/>
      <x:c r="H180" s="8" t="str"/>
      <x:c r="I180" s="8" t="str"/>
      <x:c r="J180" s="8" t="str"/>
      <x:c r="K180" s="14" t="n">
        <x:v>2025</x:v>
      </x:c>
      <x:c r="L180" s="8" t="str">
        <x:v>Richard McKirahan</x:v>
      </x:c>
      <x:c r="M180" s="8" t="str">
        <x:v>Richard</x:v>
      </x:c>
      <x:c r="N180" s="8" t="str">
        <x:v>McKirahan</x:v>
      </x:c>
      <x:c r="O180" s="8" t="str"/>
      <x:c r="P180" s="15" t="str"/>
      <x:c r="Q180" s="8" t="str">
        <x:v>Pomona College</x:v>
      </x:c>
      <x:c r="R180" s="8" t="str">
        <x:v>High</x:v>
      </x:c>
      <x:c r="S180" s="15" t="str">
        <x:v>Official Pomona profile lists Richard McKirahan and identifies him as emeritus.</x:v>
      </x:c>
      <x:c r="T180" s="8" t="str"/>
      <x:c r="U180" s="8" t="str"/>
      <x:c r="V180" s="15" t="str"/>
      <x:c r="W180" s="8" t="str">
        <x:v>https://www.pomona.edu/directory/people/richard-d-mckirahan</x:v>
      </x:c>
      <x:c r="X180" s="8" t="str">
        <x:v>Institution</x:v>
      </x:c>
      <x:c r="Y180" s="17" t="str">
        <x:v>Proposed change</x:v>
      </x:c>
      <x:c r="Z180" s="20" t="str"/>
      <x:c r="AA180" s="21" t="str"/>
    </x:row>
    <x:row r="181">
      <x:c r="A181" s="8" t="str">
        <x:v>SAGP000174</x:v>
      </x:c>
      <x:c r="B181" s="8" t="str">
        <x:v>Richard Tierney</x:v>
      </x:c>
      <x:c r="C181" s="8" t="str">
        <x:v>Richard</x:v>
      </x:c>
      <x:c r="D181" s="8" t="str">
        <x:v>Tierney</x:v>
      </x:c>
      <x:c r="E181" s="8" t="str">
        <x:v>rtierney@uwm.edu</x:v>
      </x:c>
      <x:c r="F181" s="8" t="str">
        <x:v>uwm.edu</x:v>
      </x:c>
      <x:c r="G181" s="8" t="str"/>
      <x:c r="H181" s="8" t="str"/>
      <x:c r="I181" s="8" t="str">
        <x:v>AU</x:v>
      </x:c>
      <x:c r="J181" s="8" t="str">
        <x:v>VIC</x:v>
      </x:c>
      <x:c r="K181" s="14" t="n">
        <x:v>2029</x:v>
      </x:c>
      <x:c r="L181" s="8" t="str">
        <x:v>Richard Tierney</x:v>
      </x:c>
      <x:c r="M181" s="8" t="str">
        <x:v>Richard</x:v>
      </x:c>
      <x:c r="N181" s="8" t="str">
        <x:v>Tierney</x:v>
      </x:c>
      <x:c r="O181" s="8" t="str"/>
      <x:c r="P181" s="15" t="str"/>
      <x:c r="Q181" s="8" t="str">
        <x:v>University of Wisconsin–Milwaukee</x:v>
      </x:c>
      <x:c r="R181" s="8" t="str">
        <x:v>High</x:v>
      </x:c>
      <x:c r="S181" s="15" t="str">
        <x:v>Official UWM Philosophy directory lists Richard Tierney; department newsletter records his 2021 retirement.</x:v>
      </x:c>
      <x:c r="T181" s="8" t="str">
        <x:v>Oceania</x:v>
      </x:c>
      <x:c r="U181" s="8" t="str">
        <x:v>High</x:v>
      </x:c>
      <x:c r="V181" s="15" t="str">
        <x:v>Existing country</x:v>
      </x:c>
      <x:c r="W181" s="8" t="str">
        <x:v>https://uwm.edu/philosophy/about/directory/?_people_categories_facet=lecturers</x:v>
      </x:c>
      <x:c r="X181" s="8" t="str">
        <x:v>Institution, Region</x:v>
      </x:c>
      <x:c r="Y181" s="19" t="str">
        <x:v>Needs research</x:v>
      </x:c>
      <x:c r="Z181" s="20" t="str"/>
      <x:c r="AA181" s="21" t="str">
        <x:v>Existing country/state fields describe Australia, but the verified institution is in Wisconsin; region should be reviewed separately.</x:v>
      </x:c>
    </x:row>
    <x:row r="182">
      <x:c r="A182" s="8" t="str">
        <x:v>SAGP000847</x:v>
      </x:c>
      <x:c r="B182" s="8" t="str">
        <x:v>Robert Perlman</x:v>
      </x:c>
      <x:c r="C182" s="8" t="str">
        <x:v>Robert</x:v>
      </x:c>
      <x:c r="D182" s="8" t="str">
        <x:v>Perlman</x:v>
      </x:c>
      <x:c r="E182" s="8" t="str">
        <x:v>r-perlman@uchicago.edu</x:v>
      </x:c>
      <x:c r="F182" s="8" t="str">
        <x:v>uchicago.edu</x:v>
      </x:c>
      <x:c r="G182" s="8" t="str"/>
      <x:c r="H182" s="8" t="str"/>
      <x:c r="I182" s="8" t="str"/>
      <x:c r="J182" s="8" t="str"/>
      <x:c r="K182" s="14" t="n">
        <x:v>2025</x:v>
      </x:c>
      <x:c r="L182" s="8" t="str">
        <x:v>Robert Perlman</x:v>
      </x:c>
      <x:c r="M182" s="8" t="str">
        <x:v>Robert</x:v>
      </x:c>
      <x:c r="N182" s="8" t="str">
        <x:v>Perlman</x:v>
      </x:c>
      <x:c r="O182" s="8" t="str"/>
      <x:c r="P182" s="15" t="str"/>
      <x:c r="Q182" s="8" t="str">
        <x:v>University of Chicago</x:v>
      </x:c>
      <x:c r="R182" s="8" t="str">
        <x:v>High</x:v>
      </x:c>
      <x:c r="S182" s="15" t="str">
        <x:v>Official University of Chicago profiles directory returns Robert L. Perlman.</x:v>
      </x:c>
      <x:c r="T182" s="8" t="str"/>
      <x:c r="U182" s="8" t="str"/>
      <x:c r="V182" s="15" t="str"/>
      <x:c r="W182" s="8" t="str">
        <x:v>https://profiles.uchicago.edu/profiles/search/default.aspx</x:v>
      </x:c>
      <x:c r="X182" s="8" t="str">
        <x:v>Institution</x:v>
      </x:c>
      <x:c r="Y182" s="17" t="str">
        <x:v>Proposed change</x:v>
      </x:c>
      <x:c r="Z182" s="20" t="str"/>
      <x:c r="AA182" s="21" t="str"/>
    </x:row>
    <x:row r="183">
      <x:c r="A183" s="8" t="str">
        <x:v>SAGP000860</x:v>
      </x:c>
      <x:c r="B183" s="8" t="str">
        <x:v>Robert Wallace</x:v>
      </x:c>
      <x:c r="C183" s="8" t="str">
        <x:v>Robert</x:v>
      </x:c>
      <x:c r="D183" s="8" t="str">
        <x:v>Wallace</x:v>
      </x:c>
      <x:c r="E183" s="8" t="str">
        <x:v>rwallace@northwestern.edu</x:v>
      </x:c>
      <x:c r="F183" s="8" t="str">
        <x:v>northwestern.edu</x:v>
      </x:c>
      <x:c r="G183" s="8" t="str"/>
      <x:c r="H183" s="8" t="str"/>
      <x:c r="I183" s="8" t="str"/>
      <x:c r="J183" s="8" t="str"/>
      <x:c r="K183" s="14" t="n">
        <x:v>2026</x:v>
      </x:c>
      <x:c r="L183" s="8" t="str">
        <x:v>Robert Wallace</x:v>
      </x:c>
      <x:c r="M183" s="8" t="str">
        <x:v>Robert</x:v>
      </x:c>
      <x:c r="N183" s="8" t="str">
        <x:v>Wallace</x:v>
      </x:c>
      <x:c r="O183" s="8" t="str"/>
      <x:c r="P183" s="15" t="str"/>
      <x:c r="Q183" s="8" t="str">
        <x:v>Northwestern University</x:v>
      </x:c>
      <x:c r="R183" s="8" t="str">
        <x:v>High</x:v>
      </x:c>
      <x:c r="S183" s="15" t="str">
        <x:v>Official Northwestern profile lists Robert Wallace and the same email address; professor emeritus.</x:v>
      </x:c>
      <x:c r="T183" s="8" t="str"/>
      <x:c r="U183" s="8" t="str"/>
      <x:c r="V183" s="15" t="str"/>
      <x:c r="W183" s="8" t="str">
        <x:v>https://classics.northwestern.edu/people/emeritus-faculty/robert-wallace.html</x:v>
      </x:c>
      <x:c r="X183" s="8" t="str">
        <x:v>Institution</x:v>
      </x:c>
      <x:c r="Y183" s="17" t="str">
        <x:v>Proposed change</x:v>
      </x:c>
      <x:c r="Z183" s="20" t="str"/>
      <x:c r="AA183" s="21" t="str"/>
    </x:row>
    <x:row r="184">
      <x:c r="A184" s="8" t="str">
        <x:v>SAGP000991</x:v>
      </x:c>
      <x:c r="B184" s="8" t="str">
        <x:v>Robin Weiss</x:v>
      </x:c>
      <x:c r="C184" s="8" t="str">
        <x:v>Robin</x:v>
      </x:c>
      <x:c r="D184" s="8" t="str">
        <x:v>Weiss</x:v>
      </x:c>
      <x:c r="E184" s="8" t="str">
        <x:v>robin.weiss125@gmail.com</x:v>
      </x:c>
      <x:c r="F184" s="8" t="str">
        <x:v>gmail.com</x:v>
      </x:c>
      <x:c r="G184" s="8" t="str">
        <x:v>University of Taiwan</x:v>
      </x:c>
      <x:c r="H184" s="8" t="str">
        <x:v>Taiwan</x:v>
      </x:c>
      <x:c r="I184" s="8" t="str">
        <x:v>US</x:v>
      </x:c>
      <x:c r="J184" s="8" t="str">
        <x:v>NM</x:v>
      </x:c>
      <x:c r="K184" s="14" t="n">
        <x:v>2027</x:v>
      </x:c>
      <x:c r="L184" s="8" t="str">
        <x:v>Robin Weiss</x:v>
      </x:c>
      <x:c r="M184" s="8" t="str">
        <x:v>Robin</x:v>
      </x:c>
      <x:c r="N184" s="8" t="str">
        <x:v>Weiss</x:v>
      </x:c>
      <x:c r="O184" s="8" t="str"/>
      <x:c r="P184" s="15" t="str"/>
      <x:c r="Q184" s="8" t="str">
        <x:v>University of Taiwan</x:v>
      </x:c>
      <x:c r="R184" s="8" t="str">
        <x:v>Existing</x:v>
      </x:c>
      <x:c r="S184" s="15" t="str">
        <x:v>Existing database value</x:v>
      </x:c>
      <x:c r="T184" s="8" t="str">
        <x:v>Taiwan</x:v>
      </x:c>
      <x:c r="U184" s="8" t="str">
        <x:v>Existing</x:v>
      </x:c>
      <x:c r="V184" s="15" t="str">
        <x:v>Existing database value</x:v>
      </x:c>
      <x:c r="W184" s="8" t="str"/>
      <x:c r="X184" s="8" t="str"/>
      <x:c r="Y184" s="8" t="str">
        <x:v>No change proposed</x:v>
      </x:c>
      <x:c r="Z184" s="20" t="str"/>
      <x:c r="AA184" s="21" t="str"/>
    </x:row>
    <x:row r="185">
      <x:c r="A185" s="8" t="str">
        <x:v>SAGP000156</x:v>
      </x:c>
      <x:c r="B185" s="8" t="str">
        <x:v>Romp Jack</x:v>
      </x:c>
      <x:c r="C185" s="8" t="str">
        <x:v>Romp</x:v>
      </x:c>
      <x:c r="D185" s="8" t="str">
        <x:v>Jack</x:v>
      </x:c>
      <x:c r="E185" s="8" t="str">
        <x:v>jr4531@columbia.edu</x:v>
      </x:c>
      <x:c r="F185" s="8" t="str">
        <x:v>columbia.edu</x:v>
      </x:c>
      <x:c r="G185" s="8" t="str"/>
      <x:c r="H185" s="8" t="str"/>
      <x:c r="I185" s="8" t="str"/>
      <x:c r="J185" s="8" t="str"/>
      <x:c r="K185" s="14" t="n">
        <x:v>2025</x:v>
      </x:c>
      <x:c r="L185" s="8" t="str">
        <x:v>Romp Jack</x:v>
      </x:c>
      <x:c r="M185" s="8" t="str">
        <x:v>Romp</x:v>
      </x:c>
      <x:c r="N185" s="8" t="str">
        <x:v>Jack</x:v>
      </x:c>
      <x:c r="O185" s="8" t="str"/>
      <x:c r="P185" s="15" t="str"/>
      <x:c r="Q185" s="8" t="str">
        <x:v>Columbia University</x:v>
      </x:c>
      <x:c r="R185" s="8" t="str">
        <x:v>High</x:v>
      </x:c>
      <x:c r="S185" s="15" t="str">
        <x:v>Official Columbia profile lists Jack Romp and the same email address.</x:v>
      </x:c>
      <x:c r="T185" s="8" t="str"/>
      <x:c r="U185" s="8" t="str"/>
      <x:c r="V185" s="15" t="str"/>
      <x:c r="W185" s="8" t="str">
        <x:v>https://philosophy.columbia.edu/content/jack-romp</x:v>
      </x:c>
      <x:c r="X185" s="8" t="str">
        <x:v>Institution</x:v>
      </x:c>
      <x:c r="Y185" s="17" t="str">
        <x:v>Proposed change</x:v>
      </x:c>
      <x:c r="Z185" s="20" t="str"/>
      <x:c r="AA185" s="21" t="str"/>
    </x:row>
    <x:row r="186">
      <x:c r="A186" s="8" t="str">
        <x:v>SAGP000736</x:v>
      </x:c>
      <x:c r="B186" s="8" t="str">
        <x:v>Ronald Glass</x:v>
      </x:c>
      <x:c r="C186" s="8" t="str">
        <x:v>Ronald</x:v>
      </x:c>
      <x:c r="D186" s="8" t="str">
        <x:v>Glass</x:v>
      </x:c>
      <x:c r="E186" s="8" t="str">
        <x:v>rglass@eagle.uwlax.edu</x:v>
      </x:c>
      <x:c r="F186" s="8" t="str">
        <x:v>eagle.uwlax.edu</x:v>
      </x:c>
      <x:c r="G186" s="8" t="str"/>
      <x:c r="H186" s="8" t="str"/>
      <x:c r="I186" s="8" t="str">
        <x:v>US</x:v>
      </x:c>
      <x:c r="J186" s="8" t="str">
        <x:v>WI</x:v>
      </x:c>
      <x:c r="K186" s="14" t="n">
        <x:v>2026</x:v>
      </x:c>
      <x:c r="L186" s="8" t="str">
        <x:v>Ronald Glass</x:v>
      </x:c>
      <x:c r="M186" s="8" t="str">
        <x:v>Ronald</x:v>
      </x:c>
      <x:c r="N186" s="8" t="str">
        <x:v>Glass</x:v>
      </x:c>
      <x:c r="O186" s="8" t="str"/>
      <x:c r="P186" s="15" t="str"/>
      <x:c r="Q186" s="8" t="str">
        <x:v>University of Wisconsin–La Crosse</x:v>
      </x:c>
      <x:c r="R186" s="8" t="str">
        <x:v>High</x:v>
      </x:c>
      <x:c r="S186" s="15" t="str">
        <x:v>Official UW-La Crosse retirees table lists Ronald J. Glass and the same email address; retired in 2017.</x:v>
      </x:c>
      <x:c r="T186" s="8" t="str">
        <x:v>USA Central</x:v>
      </x:c>
      <x:c r="U186" s="8" t="str">
        <x:v>High</x:v>
      </x:c>
      <x:c r="V186" s="15" t="str">
        <x:v>Existing country and state</x:v>
      </x:c>
      <x:c r="W186" s="8" t="str">
        <x:v>https://share.uwlax.edu/retirees/retireestable</x:v>
      </x:c>
      <x:c r="X186" s="8" t="str">
        <x:v>Institution, Region</x:v>
      </x:c>
      <x:c r="Y186" s="17" t="str">
        <x:v>Proposed change</x:v>
      </x:c>
      <x:c r="Z186" s="20" t="str"/>
      <x:c r="AA186" s="21" t="str"/>
    </x:row>
    <x:row r="187">
      <x:c r="A187" s="8" t="str">
        <x:v>SAGP000880</x:v>
      </x:c>
      <x:c r="B187" s="8" t="str">
        <x:v>Ronna Burger</x:v>
      </x:c>
      <x:c r="C187" s="8" t="str">
        <x:v>Ronna</x:v>
      </x:c>
      <x:c r="D187" s="8" t="str">
        <x:v>Burger</x:v>
      </x:c>
      <x:c r="E187" s="8" t="str">
        <x:v>rburger@tulane.edu</x:v>
      </x:c>
      <x:c r="F187" s="8" t="str">
        <x:v>tulane.edu</x:v>
      </x:c>
      <x:c r="G187" s="8" t="str"/>
      <x:c r="H187" s="8" t="str"/>
      <x:c r="I187" s="8" t="str"/>
      <x:c r="J187" s="8" t="str"/>
      <x:c r="K187" s="14" t="n">
        <x:v>2026</x:v>
      </x:c>
      <x:c r="L187" s="8" t="str">
        <x:v>Ronna Burger</x:v>
      </x:c>
      <x:c r="M187" s="8" t="str">
        <x:v>Ronna</x:v>
      </x:c>
      <x:c r="N187" s="8" t="str">
        <x:v>Burger</x:v>
      </x:c>
      <x:c r="O187" s="8" t="str"/>
      <x:c r="P187" s="15" t="str"/>
      <x:c r="Q187" s="8" t="str">
        <x:v>Tulane University</x:v>
      </x:c>
      <x:c r="R187" s="8" t="str">
        <x:v>High</x:v>
      </x:c>
      <x:c r="S187" s="15" t="str">
        <x:v>Official Tulane profile lists Ronna Burger and the same email address.</x:v>
      </x:c>
      <x:c r="T187" s="8" t="str"/>
      <x:c r="U187" s="8" t="str"/>
      <x:c r="V187" s="15" t="str"/>
      <x:c r="W187" s="8" t="str">
        <x:v>https://murphy.tulane.edu/people/ronna-burger</x:v>
      </x:c>
      <x:c r="X187" s="8" t="str">
        <x:v>Institution</x:v>
      </x:c>
      <x:c r="Y187" s="17" t="str">
        <x:v>Proposed change</x:v>
      </x:c>
      <x:c r="Z187" s="20" t="str"/>
      <x:c r="AA187" s="21" t="str"/>
    </x:row>
    <x:row r="188">
      <x:c r="A188" s="8" t="str">
        <x:v>SAGP001259</x:v>
      </x:c>
      <x:c r="B188" s="8" t="str">
        <x:v>Rose Nicholas</x:v>
      </x:c>
      <x:c r="C188" s="8" t="str">
        <x:v>Rose</x:v>
      </x:c>
      <x:c r="D188" s="8" t="str">
        <x:v>Nicholas</x:v>
      </x:c>
      <x:c r="E188" s="8" t="str">
        <x:v>nicholas@nicholas-rose.co.uk</x:v>
      </x:c>
      <x:c r="F188" s="8" t="str">
        <x:v>nicholas-rose.co.uk</x:v>
      </x:c>
      <x:c r="G188" s="8" t="str"/>
      <x:c r="H188" s="8" t="str"/>
      <x:c r="I188" s="8" t="str">
        <x:v>GB</x:v>
      </x:c>
      <x:c r="J188" s="8" t="str"/>
      <x:c r="K188" s="14" t="n">
        <x:v>2027</x:v>
      </x:c>
      <x:c r="L188" s="8" t="str">
        <x:v>Rose Nicholas</x:v>
      </x:c>
      <x:c r="M188" s="8" t="str">
        <x:v>Rose</x:v>
      </x:c>
      <x:c r="N188" s="8" t="str">
        <x:v>Nicholas</x:v>
      </x:c>
      <x:c r="O188" s="8" t="str"/>
      <x:c r="P188" s="15" t="str"/>
      <x:c r="Q188" s="8" t="str"/>
      <x:c r="R188" s="8" t="str"/>
      <x:c r="S188" s="15" t="str"/>
      <x:c r="T188" s="8" t="str">
        <x:v>Europe</x:v>
      </x:c>
      <x:c r="U188" s="8" t="str">
        <x:v>High</x:v>
      </x:c>
      <x:c r="V188" s="15" t="str">
        <x:v>Existing country</x:v>
      </x:c>
      <x:c r="W188" s="8" t="str"/>
      <x:c r="X188" s="8" t="str">
        <x:v>Region</x:v>
      </x:c>
      <x:c r="Y188" s="17" t="str">
        <x:v>Proposed change</x:v>
      </x:c>
      <x:c r="Z188" s="20" t="str"/>
      <x:c r="AA188" s="21" t="str"/>
    </x:row>
    <x:row r="189">
      <x:c r="A189" s="8" t="str">
        <x:v>SAGP000363</x:v>
      </x:c>
      <x:c r="B189" s="8" t="str">
        <x:v>Roslyn Weiss</x:v>
      </x:c>
      <x:c r="C189" s="8" t="str">
        <x:v>Roslyn</x:v>
      </x:c>
      <x:c r="D189" s="8" t="str">
        <x:v>Weiss</x:v>
      </x:c>
      <x:c r="E189" s="8" t="str">
        <x:v>rw03@lehigh.edu</x:v>
      </x:c>
      <x:c r="F189" s="8" t="str">
        <x:v>lehigh.edu</x:v>
      </x:c>
      <x:c r="G189" s="8" t="str"/>
      <x:c r="H189" s="8" t="str"/>
      <x:c r="I189" s="8" t="str">
        <x:v>US</x:v>
      </x:c>
      <x:c r="J189" s="8" t="str">
        <x:v>PA</x:v>
      </x:c>
      <x:c r="K189" s="14" t="n">
        <x:v>2025</x:v>
      </x:c>
      <x:c r="L189" s="8" t="str">
        <x:v>Roslyn Weiss</x:v>
      </x:c>
      <x:c r="M189" s="8" t="str">
        <x:v>Roslyn</x:v>
      </x:c>
      <x:c r="N189" s="8" t="str">
        <x:v>Weiss</x:v>
      </x:c>
      <x:c r="O189" s="8" t="str"/>
      <x:c r="P189" s="15" t="str"/>
      <x:c r="Q189" s="8" t="str">
        <x:v>Lehigh University</x:v>
      </x:c>
      <x:c r="R189" s="8" t="str">
        <x:v>High</x:v>
      </x:c>
      <x:c r="S189" s="15" t="str">
        <x:v>Official Lehigh profile lists Roslyn Weiss and the same email address; professor emerita.</x:v>
      </x:c>
      <x:c r="T189" s="8" t="str">
        <x:v>USA Eastern</x:v>
      </x:c>
      <x:c r="U189" s="8" t="str">
        <x:v>High</x:v>
      </x:c>
      <x:c r="V189" s="15" t="str">
        <x:v>Existing country and state</x:v>
      </x:c>
      <x:c r="W189" s="8" t="str">
        <x:v>https://philosophy.cas.lehigh.edu/faculty-staff/roslyn-weiss-phd</x:v>
      </x:c>
      <x:c r="X189" s="8" t="str">
        <x:v>Institution, Region</x:v>
      </x:c>
      <x:c r="Y189" s="17" t="str">
        <x:v>Proposed change</x:v>
      </x:c>
      <x:c r="Z189" s="20" t="str"/>
      <x:c r="AA189" s="21" t="str"/>
    </x:row>
    <x:row r="190">
      <x:c r="A190" s="8" t="str">
        <x:v>SAGP000560</x:v>
      </x:c>
      <x:c r="B190" s="8" t="str">
        <x:v>Rothschild Nathan</x:v>
      </x:c>
      <x:c r="C190" s="8" t="str">
        <x:v>Rothschild</x:v>
      </x:c>
      <x:c r="D190" s="8" t="str">
        <x:v>Nathan</x:v>
      </x:c>
      <x:c r="E190" s="8" t="str">
        <x:v>njrothschild@ufl.edu</x:v>
      </x:c>
      <x:c r="F190" s="8" t="str">
        <x:v>ufl.edu</x:v>
      </x:c>
      <x:c r="G190" s="8" t="str">
        <x:v>University of Florida</x:v>
      </x:c>
      <x:c r="H190" s="8" t="str"/>
      <x:c r="I190" s="8" t="str"/>
      <x:c r="J190" s="8" t="str"/>
      <x:c r="K190" s="14" t="n">
        <x:v>2025</x:v>
      </x:c>
      <x:c r="L190" s="8" t="str">
        <x:v>Rothschild Nathan</x:v>
      </x:c>
      <x:c r="M190" s="8" t="str">
        <x:v>Rothschild</x:v>
      </x:c>
      <x:c r="N190" s="8" t="str">
        <x:v>Nathan</x:v>
      </x:c>
      <x:c r="O190" s="8" t="str"/>
      <x:c r="P190" s="15" t="str"/>
      <x:c r="Q190" s="8" t="str">
        <x:v>University of Florida</x:v>
      </x:c>
      <x:c r="R190" s="8" t="str">
        <x:v>Existing</x:v>
      </x:c>
      <x:c r="S190" s="15" t="str">
        <x:v>Existing database value</x:v>
      </x:c>
      <x:c r="T190" s="8" t="str"/>
      <x:c r="U190" s="8" t="str"/>
      <x:c r="V190" s="15" t="str"/>
      <x:c r="W190" s="8" t="str"/>
      <x:c r="X190" s="8" t="str"/>
      <x:c r="Y190" s="19" t="str">
        <x:v>Needs research</x:v>
      </x:c>
      <x:c r="Z190" s="20" t="str"/>
      <x:c r="AA190" s="21" t="str"/>
    </x:row>
    <x:row r="191">
      <x:c r="A191" s="8" t="str">
        <x:v>SAGP000949</x:v>
      </x:c>
      <x:c r="B191" s="8" t="str">
        <x:v>Ryan West</x:v>
      </x:c>
      <x:c r="C191" s="8" t="str">
        <x:v>Ryan</x:v>
      </x:c>
      <x:c r="D191" s="8" t="str">
        <x:v>West</x:v>
      </x:c>
      <x:c r="E191" s="8" t="str">
        <x:v>R_West@alumni.baylor.edu</x:v>
      </x:c>
      <x:c r="F191" s="8" t="str">
        <x:v>alumni.baylor.edu</x:v>
      </x:c>
      <x:c r="G191" s="8" t="str"/>
      <x:c r="H191" s="8" t="str"/>
      <x:c r="I191" s="8" t="str"/>
      <x:c r="J191" s="8" t="str"/>
      <x:c r="K191" s="14" t="n">
        <x:v>2027</x:v>
      </x:c>
      <x:c r="L191" s="8" t="str">
        <x:v>Ryan West</x:v>
      </x:c>
      <x:c r="M191" s="8" t="str">
        <x:v>Ryan</x:v>
      </x:c>
      <x:c r="N191" s="8" t="str">
        <x:v>West</x:v>
      </x:c>
      <x:c r="O191" s="8" t="str"/>
      <x:c r="P191" s="15" t="str"/>
      <x:c r="Q191" s="8" t="str">
        <x:v>Grove City College</x:v>
      </x:c>
      <x:c r="R191" s="8" t="str">
        <x:v>High</x:v>
      </x:c>
      <x:c r="S191" s="15" t="str">
        <x:v>The current official Grove City College profile lists Ryan West as philosophy faculty and identifies Baylor as his PhD institution.</x:v>
      </x:c>
      <x:c r="T191" s="8" t="str"/>
      <x:c r="U191" s="8" t="str"/>
      <x:c r="V191" s="15" t="str"/>
      <x:c r="W191" s="8" t="str">
        <x:v>https://www.gcc.edu/Home/Student-Alumni-Stories-template/Student-Detail/ryan-west</x:v>
      </x:c>
      <x:c r="X191" s="8" t="str">
        <x:v>Institution</x:v>
      </x:c>
      <x:c r="Y191" s="17" t="str">
        <x:v>Proposed change</x:v>
      </x:c>
      <x:c r="Z191" s="20" t="str"/>
      <x:c r="AA191" s="21" t="str">
        <x:v>Baylor is an alumni address and doctoral institution; current affiliation is Grove City College.</x:v>
      </x:c>
    </x:row>
    <x:row r="192">
      <x:c r="A192" s="8" t="str">
        <x:v>SAGP001260</x:v>
      </x:c>
      <x:c r="B192" s="8" t="str">
        <x:v>SCHMID Riccarda</x:v>
      </x:c>
      <x:c r="C192" s="8" t="str">
        <x:v>SCHMID</x:v>
      </x:c>
      <x:c r="D192" s="8" t="str">
        <x:v>Riccarda</x:v>
      </x:c>
      <x:c r="E192" s="8" t="str">
        <x:v>riccarda.schmid@unifr.ch</x:v>
      </x:c>
      <x:c r="F192" s="8" t="str">
        <x:v>unifr.ch</x:v>
      </x:c>
      <x:c r="G192" s="8" t="str"/>
      <x:c r="H192" s="8" t="str"/>
      <x:c r="I192" s="8" t="str">
        <x:v>DE</x:v>
      </x:c>
      <x:c r="J192" s="8" t="str"/>
      <x:c r="K192" s="14" t="n">
        <x:v>2025</x:v>
      </x:c>
      <x:c r="L192" s="8" t="str">
        <x:v>Riccarda Schmid</x:v>
      </x:c>
      <x:c r="M192" s="8" t="str">
        <x:v>Riccarda</x:v>
      </x:c>
      <x:c r="N192" s="8" t="str">
        <x:v>Schmid</x:v>
      </x:c>
      <x:c r="O192" s="8" t="str">
        <x:v>High</x:v>
      </x:c>
      <x:c r="P192" s="15" t="str">
        <x:v>Email address pattern strongly supports given-name/surname reversal</x:v>
      </x:c>
      <x:c r="Q192" s="8" t="str">
        <x:v>University of Fribourg</x:v>
      </x:c>
      <x:c r="R192" s="8" t="str">
        <x:v>High</x:v>
      </x:c>
      <x:c r="S192" s="15" t="str">
        <x:v>Official University of Fribourg directory lists Riccarda Schmid and the same email address.</x:v>
      </x:c>
      <x:c r="T192" s="8" t="str">
        <x:v>Europe</x:v>
      </x:c>
      <x:c r="U192" s="8" t="str">
        <x:v>High</x:v>
      </x:c>
      <x:c r="V192" s="15" t="str">
        <x:v>Existing country</x:v>
      </x:c>
      <x:c r="W192" s="8" t="str">
        <x:v>https://www.unifr.ch/directory/fr/people/320324/8553e</x:v>
      </x:c>
      <x:c r="X192" s="8" t="str">
        <x:v>Name, Institution, Region</x:v>
      </x:c>
      <x:c r="Y192" s="17" t="str">
        <x:v>Proposed change</x:v>
      </x:c>
      <x:c r="Z192" s="20" t="str"/>
      <x:c r="AA192" s="21" t="str"/>
    </x:row>
    <x:row r="193">
      <x:c r="A193" s="8" t="str">
        <x:v>SAGP000983</x:v>
      </x:c>
      <x:c r="B193" s="8" t="str">
        <x:v>Saint-Andre Peter</x:v>
      </x:c>
      <x:c r="C193" s="8" t="str">
        <x:v>Saint-Andre</x:v>
      </x:c>
      <x:c r="D193" s="8" t="str">
        <x:v>Peter</x:v>
      </x:c>
      <x:c r="E193" s="8" t="str">
        <x:v>stpeter@stpeter.im</x:v>
      </x:c>
      <x:c r="F193" s="8" t="str">
        <x:v>stpeter.im</x:v>
      </x:c>
      <x:c r="G193" s="8" t="str"/>
      <x:c r="H193" s="8" t="str"/>
      <x:c r="I193" s="8" t="str">
        <x:v>US</x:v>
      </x:c>
      <x:c r="J193" s="8" t="str">
        <x:v>CO</x:v>
      </x:c>
      <x:c r="K193" s="14" t="n">
        <x:v>2034</x:v>
      </x:c>
      <x:c r="L193" s="8" t="str">
        <x:v>Saint-Andre Peter</x:v>
      </x:c>
      <x:c r="M193" s="8" t="str">
        <x:v>Saint-Andre</x:v>
      </x:c>
      <x:c r="N193" s="8" t="str">
        <x:v>Peter</x:v>
      </x:c>
      <x:c r="O193" s="8" t="str"/>
      <x:c r="P193" s="15" t="str"/>
      <x:c r="Q193" s="8" t="str"/>
      <x:c r="R193" s="8" t="str"/>
      <x:c r="S193" s="15" t="str"/>
      <x:c r="T193" s="8" t="str">
        <x:v>USA Mountain</x:v>
      </x:c>
      <x:c r="U193" s="8" t="str">
        <x:v>High</x:v>
      </x:c>
      <x:c r="V193" s="15" t="str">
        <x:v>Existing country and state</x:v>
      </x:c>
      <x:c r="W193" s="8" t="str"/>
      <x:c r="X193" s="8" t="str">
        <x:v>Region</x:v>
      </x:c>
      <x:c r="Y193" s="17" t="str">
        <x:v>Proposed change</x:v>
      </x:c>
      <x:c r="Z193" s="20" t="str"/>
      <x:c r="AA193" s="21" t="str"/>
    </x:row>
    <x:row r="194">
      <x:c r="A194" s="8" t="str">
        <x:v>SAGP000802</x:v>
      </x:c>
      <x:c r="B194" s="8" t="str">
        <x:v>Samuel Galloway</x:v>
      </x:c>
      <x:c r="C194" s="8" t="str">
        <x:v>Samuel</x:v>
      </x:c>
      <x:c r="D194" s="8" t="str">
        <x:v>Galloway</x:v>
      </x:c>
      <x:c r="E194" s="8" t="str">
        <x:v>sgalloway@uchicago.edu</x:v>
      </x:c>
      <x:c r="F194" s="8" t="str">
        <x:v>uchicago.edu</x:v>
      </x:c>
      <x:c r="G194" s="8" t="str"/>
      <x:c r="H194" s="8" t="str"/>
      <x:c r="I194" s="8" t="str"/>
      <x:c r="J194" s="8" t="str"/>
      <x:c r="K194" s="14" t="n">
        <x:v>2025</x:v>
      </x:c>
      <x:c r="L194" s="8" t="str">
        <x:v>Samuel Galloway</x:v>
      </x:c>
      <x:c r="M194" s="8" t="str">
        <x:v>Samuel</x:v>
      </x:c>
      <x:c r="N194" s="8" t="str">
        <x:v>Galloway</x:v>
      </x:c>
      <x:c r="O194" s="8" t="str"/>
      <x:c r="P194" s="15" t="str"/>
      <x:c r="Q194" s="8" t="str"/>
      <x:c r="R194" s="8" t="str">
        <x:v>Medium</x:v>
      </x:c>
      <x:c r="S194" s="15" t="str">
        <x:v>The University of Chicago record establishes Samuel R. Galloway's 2019 Political Science PhD but does not establish a current affiliation; he is absent from current Philosophy faculty lists.</x:v>
      </x:c>
      <x:c r="T194" s="8" t="str"/>
      <x:c r="U194" s="8" t="str"/>
      <x:c r="V194" s="15" t="str"/>
      <x:c r="W194" s="8" t="str">
        <x:v>https://knowledge.uchicago.edu/record/2111</x:v>
      </x:c>
      <x:c r="X194" s="8" t="str">
        <x:v>Institution</x:v>
      </x:c>
      <x:c r="Y194" s="19" t="str">
        <x:v>Needs research</x:v>
      </x:c>
      <x:c r="Z194" s="20" t="str"/>
      <x:c r="AA194" s="21" t="str">
        <x:v>University of Chicago is an educational affiliation only; current employment remains unknown.</x:v>
      </x:c>
    </x:row>
    <x:row r="195">
      <x:c r="A195" s="8" t="str">
        <x:v>SAGP001099</x:v>
      </x:c>
      <x:c r="B195" s="8" t="str">
        <x:v>Samuel Rickless</x:v>
      </x:c>
      <x:c r="C195" s="8" t="str">
        <x:v>Samuel</x:v>
      </x:c>
      <x:c r="D195" s="8" t="str">
        <x:v>Rickless</x:v>
      </x:c>
      <x:c r="E195" s="8" t="str">
        <x:v>srickless@ucsd.edu</x:v>
      </x:c>
      <x:c r="F195" s="8" t="str">
        <x:v>ucsd.edu</x:v>
      </x:c>
      <x:c r="G195" s="8" t="str"/>
      <x:c r="H195" s="8" t="str"/>
      <x:c r="I195" s="8" t="str"/>
      <x:c r="J195" s="8" t="str">
        <x:v>CA</x:v>
      </x:c>
      <x:c r="K195" s="14" t="n">
        <x:v>2050</x:v>
      </x:c>
      <x:c r="L195" s="8" t="str">
        <x:v>Samuel Rickless</x:v>
      </x:c>
      <x:c r="M195" s="8" t="str">
        <x:v>Samuel</x:v>
      </x:c>
      <x:c r="N195" s="8" t="str">
        <x:v>Rickless</x:v>
      </x:c>
      <x:c r="O195" s="8" t="str"/>
      <x:c r="P195" s="15" t="str"/>
      <x:c r="Q195" s="8" t="str">
        <x:v>University of California, San Diego</x:v>
      </x:c>
      <x:c r="R195" s="8" t="str">
        <x:v>High</x:v>
      </x:c>
      <x:c r="S195" s="15" t="str">
        <x:v>Official UC San Diego faculty page lists Samuel Rickless and the same email address.</x:v>
      </x:c>
      <x:c r="T195" s="8" t="str"/>
      <x:c r="U195" s="8" t="str"/>
      <x:c r="V195" s="15" t="str"/>
      <x:c r="W195" s="8" t="str">
        <x:v>https://philosophy.ucsd.edu/people/faculty.html</x:v>
      </x:c>
      <x:c r="X195" s="8" t="str">
        <x:v>Institution</x:v>
      </x:c>
      <x:c r="Y195" s="17" t="str">
        <x:v>Proposed change</x:v>
      </x:c>
      <x:c r="Z195" s="20" t="str"/>
      <x:c r="AA195" s="21" t="str"/>
    </x:row>
    <x:row r="196">
      <x:c r="A196" s="8" t="str">
        <x:v>SAGP000758</x:v>
      </x:c>
      <x:c r="B196" s="8" t="str">
        <x:v>Sandra Peterson</x:v>
      </x:c>
      <x:c r="C196" s="8" t="str">
        <x:v>Sandra</x:v>
      </x:c>
      <x:c r="D196" s="8" t="str">
        <x:v>Peterson</x:v>
      </x:c>
      <x:c r="E196" s="8" t="str">
        <x:v>peter009@umn.edu</x:v>
      </x:c>
      <x:c r="F196" s="8" t="str">
        <x:v>umn.edu</x:v>
      </x:c>
      <x:c r="G196" s="8" t="str"/>
      <x:c r="H196" s="8" t="str"/>
      <x:c r="I196" s="8" t="str">
        <x:v>US</x:v>
      </x:c>
      <x:c r="J196" s="8" t="str">
        <x:v>MN</x:v>
      </x:c>
      <x:c r="K196" s="14" t="n">
        <x:v>2025</x:v>
      </x:c>
      <x:c r="L196" s="8" t="str">
        <x:v>Sandra Peterson</x:v>
      </x:c>
      <x:c r="M196" s="8" t="str">
        <x:v>Sandra</x:v>
      </x:c>
      <x:c r="N196" s="8" t="str">
        <x:v>Peterson</x:v>
      </x:c>
      <x:c r="O196" s="8" t="str"/>
      <x:c r="P196" s="15" t="str"/>
      <x:c r="Q196" s="8" t="str">
        <x:v>University of Minnesota</x:v>
      </x:c>
      <x:c r="R196" s="8" t="str">
        <x:v>High</x:v>
      </x:c>
      <x:c r="S196" s="15" t="str">
        <x:v>The current official University of Minnesota Philosophy faculty page lists Sandra Peterson as Professor Emerita with the same email address.</x:v>
      </x:c>
      <x:c r="T196" s="8" t="str">
        <x:v>USA Central</x:v>
      </x:c>
      <x:c r="U196" s="8" t="str">
        <x:v>High</x:v>
      </x:c>
      <x:c r="V196" s="15" t="str">
        <x:v>Existing country and state</x:v>
      </x:c>
      <x:c r="W196" s="8" t="str">
        <x:v>https://cla.umn.edu/philosophy/people/faculty</x:v>
      </x:c>
      <x:c r="X196" s="8" t="str">
        <x:v>Institution, Region</x:v>
      </x:c>
      <x:c r="Y196" s="17" t="str">
        <x:v>Proposed change</x:v>
      </x:c>
      <x:c r="Z196" s="20" t="str"/>
      <x:c r="AA196" s="21" t="str">
        <x:v>Confirmed current emerita affiliation.</x:v>
      </x:c>
    </x:row>
    <x:row r="197">
      <x:c r="A197" s="8" t="str">
        <x:v>SAGP000561</x:v>
      </x:c>
      <x:c r="B197" s="8" t="str">
        <x:v>Scott Rubarth</x:v>
      </x:c>
      <x:c r="C197" s="8" t="str">
        <x:v>Scott</x:v>
      </x:c>
      <x:c r="D197" s="8" t="str">
        <x:v>Rubarth</x:v>
      </x:c>
      <x:c r="E197" s="8" t="str">
        <x:v>srubarth@rollins.edu</x:v>
      </x:c>
      <x:c r="F197" s="8" t="str">
        <x:v>rollins.edu</x:v>
      </x:c>
      <x:c r="G197" s="8" t="str"/>
      <x:c r="H197" s="8" t="str"/>
      <x:c r="I197" s="8" t="str">
        <x:v>US</x:v>
      </x:c>
      <x:c r="J197" s="8" t="str">
        <x:v>FL</x:v>
      </x:c>
      <x:c r="K197" s="14" t="n">
        <x:v>2028</x:v>
      </x:c>
      <x:c r="L197" s="8" t="str">
        <x:v>Scott Rubarth</x:v>
      </x:c>
      <x:c r="M197" s="8" t="str">
        <x:v>Scott</x:v>
      </x:c>
      <x:c r="N197" s="8" t="str">
        <x:v>Rubarth</x:v>
      </x:c>
      <x:c r="O197" s="8" t="str"/>
      <x:c r="P197" s="15" t="str"/>
      <x:c r="Q197" s="8" t="str">
        <x:v>Rollins College</x:v>
      </x:c>
      <x:c r="R197" s="8" t="str">
        <x:v>High</x:v>
      </x:c>
      <x:c r="S197" s="15" t="str">
        <x:v>Official Rollins profile lists Scott Rubarth as Associate Professor of Classical Philosophy.</x:v>
      </x:c>
      <x:c r="T197" s="8" t="str">
        <x:v>USA Eastern</x:v>
      </x:c>
      <x:c r="U197" s="8" t="str">
        <x:v>High</x:v>
      </x:c>
      <x:c r="V197" s="15" t="str">
        <x:v>Existing country and state</x:v>
      </x:c>
      <x:c r="W197" s="8" t="str">
        <x:v>https://www.rollins.edu/philosophy/scott-rubarth/</x:v>
      </x:c>
      <x:c r="X197" s="8" t="str">
        <x:v>Institution, Region</x:v>
      </x:c>
      <x:c r="Y197" s="17" t="str">
        <x:v>Proposed change</x:v>
      </x:c>
      <x:c r="Z197" s="20" t="str"/>
      <x:c r="AA197" s="21" t="str"/>
    </x:row>
    <x:row r="198">
      <x:c r="A198" s="8" t="str">
        <x:v>SAGP000293</x:v>
      </x:c>
      <x:c r="B198" s="8" t="str">
        <x:v>Sean Driscoll</x:v>
      </x:c>
      <x:c r="C198" s="8" t="str">
        <x:v>Sean</x:v>
      </x:c>
      <x:c r="D198" s="8" t="str">
        <x:v>Driscoll</x:v>
      </x:c>
      <x:c r="E198" s="8" t="str">
        <x:v>sean.d.driscoll@gmail.com</x:v>
      </x:c>
      <x:c r="F198" s="8" t="str">
        <x:v>gmail.com</x:v>
      </x:c>
      <x:c r="G198" s="8" t="str"/>
      <x:c r="H198" s="8" t="str"/>
      <x:c r="I198" s="8" t="str">
        <x:v>US</x:v>
      </x:c>
      <x:c r="J198" s="8" t="str">
        <x:v>UT</x:v>
      </x:c>
      <x:c r="K198" s="14" t="n">
        <x:v>2025</x:v>
      </x:c>
      <x:c r="L198" s="8" t="str">
        <x:v>Sean Driscoll</x:v>
      </x:c>
      <x:c r="M198" s="8" t="str">
        <x:v>Sean</x:v>
      </x:c>
      <x:c r="N198" s="8" t="str">
        <x:v>Driscoll</x:v>
      </x:c>
      <x:c r="O198" s="8" t="str"/>
      <x:c r="P198" s="15" t="str"/>
      <x:c r="Q198" s="8" t="str"/>
      <x:c r="R198" s="8" t="str"/>
      <x:c r="S198" s="15" t="str"/>
      <x:c r="T198" s="8" t="str">
        <x:v>USA Mountain</x:v>
      </x:c>
      <x:c r="U198" s="8" t="str">
        <x:v>High</x:v>
      </x:c>
      <x:c r="V198" s="15" t="str">
        <x:v>Existing country and state</x:v>
      </x:c>
      <x:c r="W198" s="8" t="str"/>
      <x:c r="X198" s="8" t="str">
        <x:v>Region</x:v>
      </x:c>
      <x:c r="Y198" s="17" t="str">
        <x:v>Proposed change</x:v>
      </x:c>
      <x:c r="Z198" s="20" t="str"/>
      <x:c r="AA198" s="21" t="str"/>
    </x:row>
    <x:row r="199">
      <x:c r="A199" s="8" t="str">
        <x:v>SAGP000200</x:v>
      </x:c>
      <x:c r="B199" s="8" t="str">
        <x:v>Silvia Carli</x:v>
      </x:c>
      <x:c r="C199" s="8" t="str">
        <x:v>Silvia</x:v>
      </x:c>
      <x:c r="D199" s="8" t="str">
        <x:v>Carli</x:v>
      </x:c>
      <x:c r="E199" s="8" t="str">
        <x:v>silvia.2016@yahoo.com</x:v>
      </x:c>
      <x:c r="F199" s="8" t="str">
        <x:v>yahoo.com</x:v>
      </x:c>
      <x:c r="G199" s="8" t="str"/>
      <x:c r="H199" s="8" t="str"/>
      <x:c r="I199" s="8" t="str">
        <x:v>US ::: US</x:v>
      </x:c>
      <x:c r="J199" s="8" t="str">
        <x:v>NY ::: NY</x:v>
      </x:c>
      <x:c r="K199" s="14" t="n">
        <x:v>2026</x:v>
      </x:c>
      <x:c r="L199" s="8" t="str">
        <x:v>Silvia Carli</x:v>
      </x:c>
      <x:c r="M199" s="8" t="str">
        <x:v>Silvia</x:v>
      </x:c>
      <x:c r="N199" s="8" t="str">
        <x:v>Carli</x:v>
      </x:c>
      <x:c r="O199" s="8" t="str"/>
      <x:c r="P199" s="15" t="str"/>
      <x:c r="Q199" s="8" t="str"/>
      <x:c r="R199" s="8" t="str"/>
      <x:c r="S199" s="15" t="str"/>
      <x:c r="T199" s="8" t="str"/>
      <x:c r="U199" s="8" t="str"/>
      <x:c r="V199" s="15" t="str"/>
      <x:c r="W199" s="8" t="str"/>
      <x:c r="X199" s="8" t="str"/>
      <x:c r="Y199" s="19" t="str">
        <x:v>Needs research</x:v>
      </x:c>
      <x:c r="Z199" s="20" t="str"/>
      <x:c r="AA199" s="21" t="str"/>
    </x:row>
    <x:row r="200">
      <x:c r="A200" s="8" t="str">
        <x:v>SAGP000498</x:v>
      </x:c>
      <x:c r="B200" s="8" t="str">
        <x:v>Sister Anna OP Wray</x:v>
      </x:c>
      <x:c r="C200" s="8" t="str">
        <x:v>Sister Anna OP</x:v>
      </x:c>
      <x:c r="D200" s="8" t="str">
        <x:v>Wray</x:v>
      </x:c>
      <x:c r="E200" s="8" t="str">
        <x:v>wray@cua.edu</x:v>
      </x:c>
      <x:c r="F200" s="8" t="str">
        <x:v>cua.edu</x:v>
      </x:c>
      <x:c r="G200" s="8" t="str"/>
      <x:c r="H200" s="8" t="str"/>
      <x:c r="I200" s="8" t="str">
        <x:v>US</x:v>
      </x:c>
      <x:c r="J200" s="8" t="str">
        <x:v>DC</x:v>
      </x:c>
      <x:c r="K200" s="14" t="n">
        <x:v>2025</x:v>
      </x:c>
      <x:c r="L200" s="8" t="str">
        <x:v>Sister Anna OP Wray</x:v>
      </x:c>
      <x:c r="M200" s="8" t="str">
        <x:v>Sister Anna OP</x:v>
      </x:c>
      <x:c r="N200" s="8" t="str">
        <x:v>Wray</x:v>
      </x:c>
      <x:c r="O200" s="8" t="str"/>
      <x:c r="P200" s="15" t="str"/>
      <x:c r="Q200" s="8" t="str">
        <x:v>The Catholic University of America</x:v>
      </x:c>
      <x:c r="R200" s="8" t="str">
        <x:v>High</x:v>
      </x:c>
      <x:c r="S200" s="15" t="str">
        <x:v>The current official Catholic University School of Philosophy faculty page lists Sr. Anna Wray; the university's faculty listing identifies her as Collegiate Assistant Professor.</x:v>
      </x:c>
      <x:c r="T200" s="8" t="str">
        <x:v>USA Eastern</x:v>
      </x:c>
      <x:c r="U200" s="8" t="str">
        <x:v>High</x:v>
      </x:c>
      <x:c r="V200" s="15" t="str">
        <x:v>Existing country and state</x:v>
      </x:c>
      <x:c r="W200" s="8" t="str">
        <x:v>https://philosophy.catholic.edu/faculty-and-research/faculty-profiles/index.html</x:v>
      </x:c>
      <x:c r="X200" s="8" t="str">
        <x:v>Institution, Region</x:v>
      </x:c>
      <x:c r="Y200" s="17" t="str">
        <x:v>Proposed change</x:v>
      </x:c>
      <x:c r="Z200" s="20" t="str"/>
      <x:c r="AA200" s="21" t="str">
        <x:v>Confirmed current faculty affiliation.</x:v>
      </x:c>
    </x:row>
    <x:row r="201">
      <x:c r="A201" s="8" t="str">
        <x:v>SAGP000565</x:v>
      </x:c>
      <x:c r="B201" s="8" t="str">
        <x:v>Slabon Thomas</x:v>
      </x:c>
      <x:c r="C201" s="8" t="str">
        <x:v>Slabon</x:v>
      </x:c>
      <x:c r="D201" s="8" t="str">
        <x:v>Thomas</x:v>
      </x:c>
      <x:c r="E201" s="8" t="str">
        <x:v>tslabon@usf.edu</x:v>
      </x:c>
      <x:c r="F201" s="8" t="str">
        <x:v>usf.edu</x:v>
      </x:c>
      <x:c r="G201" s="8" t="str"/>
      <x:c r="H201" s="8" t="str"/>
      <x:c r="I201" s="8" t="str">
        <x:v>US</x:v>
      </x:c>
      <x:c r="J201" s="8" t="str">
        <x:v>FL</x:v>
      </x:c>
      <x:c r="K201" s="14" t="n">
        <x:v>2025</x:v>
      </x:c>
      <x:c r="L201" s="8" t="str">
        <x:v>Thomas Slabon</x:v>
      </x:c>
      <x:c r="M201" s="8" t="str">
        <x:v>Thomas</x:v>
      </x:c>
      <x:c r="N201" s="8" t="str">
        <x:v>Slabon</x:v>
      </x:c>
      <x:c r="O201" s="8" t="str">
        <x:v>High</x:v>
      </x:c>
      <x:c r="P201" s="15" t="str">
        <x:v>Email address pattern strongly supports given-name/surname reversal</x:v>
      </x:c>
      <x:c r="Q201" s="8" t="str">
        <x:v>University of South Florida</x:v>
      </x:c>
      <x:c r="R201" s="8" t="str">
        <x:v>High</x:v>
      </x:c>
      <x:c r="S201" s="15" t="str">
        <x:v>Official USF profile lists Thomas Slabon and the same email address.</x:v>
      </x:c>
      <x:c r="T201" s="8" t="str">
        <x:v>USA Eastern</x:v>
      </x:c>
      <x:c r="U201" s="8" t="str">
        <x:v>High</x:v>
      </x:c>
      <x:c r="V201" s="15" t="str">
        <x:v>Existing country and state</x:v>
      </x:c>
      <x:c r="W201" s="8" t="str">
        <x:v>https://www.usf.edu/arts-sciences/departments/philosophy/about-us/faculty/thomas-slabon.aspx</x:v>
      </x:c>
      <x:c r="X201" s="8" t="str">
        <x:v>Name, Institution, Region</x:v>
      </x:c>
      <x:c r="Y201" s="17" t="str">
        <x:v>Proposed change</x:v>
      </x:c>
      <x:c r="Z201" s="20" t="str"/>
      <x:c r="AA201" s="21" t="str"/>
    </x:row>
    <x:row r="202">
      <x:c r="A202" s="8" t="str">
        <x:v>SAGP001060</x:v>
      </x:c>
      <x:c r="B202" s="8" t="str">
        <x:v>Sohar Joakim</x:v>
      </x:c>
      <x:c r="C202" s="8" t="str">
        <x:v>Sohar</x:v>
      </x:c>
      <x:c r="D202" s="8" t="str">
        <x:v>Joakim</x:v>
      </x:c>
      <x:c r="E202" s="8" t="str">
        <x:v>saharjoakim@gmail.com</x:v>
      </x:c>
      <x:c r="F202" s="8" t="str">
        <x:v>gmail.com</x:v>
      </x:c>
      <x:c r="G202" s="8" t="str"/>
      <x:c r="H202" s="8" t="str"/>
      <x:c r="I202" s="8" t="str"/>
      <x:c r="J202" s="8" t="str"/>
      <x:c r="K202" s="14" t="n">
        <x:v>2026</x:v>
      </x:c>
      <x:c r="L202" s="8" t="str">
        <x:v>Sohar Joakim</x:v>
      </x:c>
      <x:c r="M202" s="8" t="str">
        <x:v>Sohar</x:v>
      </x:c>
      <x:c r="N202" s="8" t="str">
        <x:v>Joakim</x:v>
      </x:c>
      <x:c r="O202" s="8" t="str"/>
      <x:c r="P202" s="15" t="str"/>
      <x:c r="Q202" s="8" t="str"/>
      <x:c r="R202" s="8" t="str"/>
      <x:c r="S202" s="15" t="str"/>
      <x:c r="T202" s="8" t="str"/>
      <x:c r="U202" s="8" t="str"/>
      <x:c r="V202" s="15" t="str"/>
      <x:c r="W202" s="8" t="str"/>
      <x:c r="X202" s="8" t="str"/>
      <x:c r="Y202" s="19" t="str">
        <x:v>Needs research</x:v>
      </x:c>
      <x:c r="Z202" s="20" t="str"/>
      <x:c r="AA202" s="21" t="str"/>
    </x:row>
    <x:row r="203">
      <x:c r="A203" s="8" t="str">
        <x:v>SAGP000987</x:v>
      </x:c>
      <x:c r="B203" s="8" t="str">
        <x:v>Sonja Tanner</x:v>
      </x:c>
      <x:c r="C203" s="8" t="str">
        <x:v>Sonja</x:v>
      </x:c>
      <x:c r="D203" s="8" t="str">
        <x:v>Tanner</x:v>
      </x:c>
      <x:c r="E203" s="8" t="str">
        <x:v>stanner@uccs.edu</x:v>
      </x:c>
      <x:c r="F203" s="8" t="str">
        <x:v>uccs.edu</x:v>
      </x:c>
      <x:c r="G203" s="8" t="str"/>
      <x:c r="H203" s="8" t="str"/>
      <x:c r="I203" s="8" t="str"/>
      <x:c r="J203" s="8" t="str">
        <x:v>CO</x:v>
      </x:c>
      <x:c r="K203" s="14" t="n">
        <x:v>2030</x:v>
      </x:c>
      <x:c r="L203" s="8" t="str">
        <x:v>Sonja Tanner</x:v>
      </x:c>
      <x:c r="M203" s="8" t="str">
        <x:v>Sonja</x:v>
      </x:c>
      <x:c r="N203" s="8" t="str">
        <x:v>Tanner</x:v>
      </x:c>
      <x:c r="O203" s="8" t="str"/>
      <x:c r="P203" s="15" t="str"/>
      <x:c r="Q203" s="8" t="str">
        <x:v>University of Colorado Colorado Springs</x:v>
      </x:c>
      <x:c r="R203" s="8" t="str">
        <x:v>High</x:v>
      </x:c>
      <x:c r="S203" s="15" t="str">
        <x:v>Official UCCS profile lists Sonja Tanner and the same email address.</x:v>
      </x:c>
      <x:c r="T203" s="8" t="str"/>
      <x:c r="U203" s="8" t="str"/>
      <x:c r="V203" s="15" t="str"/>
      <x:c r="W203" s="8" t="str">
        <x:v>https://langcult.uccs.edu/staff/sonja-tanner</x:v>
      </x:c>
      <x:c r="X203" s="8" t="str">
        <x:v>Institution</x:v>
      </x:c>
      <x:c r="Y203" s="17" t="str">
        <x:v>Proposed change</x:v>
      </x:c>
      <x:c r="Z203" s="20" t="str"/>
      <x:c r="AA203" s="21" t="str"/>
    </x:row>
    <x:row r="204">
      <x:c r="A204" s="8" t="str">
        <x:v>SAGP001261</x:v>
      </x:c>
      <x:c r="B204" s="8" t="str">
        <x:v>Sozopoulou Maria</x:v>
      </x:c>
      <x:c r="C204" s="8" t="str">
        <x:v>Sozopoulou</x:v>
      </x:c>
      <x:c r="D204" s="8" t="str">
        <x:v>Maria</x:v>
      </x:c>
      <x:c r="E204" s="8" t="str">
        <x:v>hieratetraktys@gmail.com</x:v>
      </x:c>
      <x:c r="F204" s="8" t="str">
        <x:v>gmail.com</x:v>
      </x:c>
      <x:c r="G204" s="8" t="str"/>
      <x:c r="H204" s="8" t="str"/>
      <x:c r="I204" s="8" t="str">
        <x:v>GR</x:v>
      </x:c>
      <x:c r="J204" s="8" t="str"/>
      <x:c r="K204" s="14" t="n">
        <x:v>2025</x:v>
      </x:c>
      <x:c r="L204" s="8" t="str">
        <x:v>Sozopoulou Maria</x:v>
      </x:c>
      <x:c r="M204" s="8" t="str">
        <x:v>Sozopoulou</x:v>
      </x:c>
      <x:c r="N204" s="8" t="str">
        <x:v>Maria</x:v>
      </x:c>
      <x:c r="O204" s="8" t="str"/>
      <x:c r="P204" s="15" t="str"/>
      <x:c r="Q204" s="8" t="str"/>
      <x:c r="R204" s="8" t="str"/>
      <x:c r="S204" s="15" t="str"/>
      <x:c r="T204" s="8" t="str">
        <x:v>Europe</x:v>
      </x:c>
      <x:c r="U204" s="8" t="str">
        <x:v>High</x:v>
      </x:c>
      <x:c r="V204" s="15" t="str">
        <x:v>Existing country</x:v>
      </x:c>
      <x:c r="W204" s="8" t="str"/>
      <x:c r="X204" s="8" t="str">
        <x:v>Region</x:v>
      </x:c>
      <x:c r="Y204" s="17" t="str">
        <x:v>Proposed change</x:v>
      </x:c>
      <x:c r="Z204" s="20" t="str"/>
      <x:c r="AA204" s="21" t="str"/>
    </x:row>
    <x:row r="205">
      <x:c r="A205" s="8" t="str">
        <x:v>SAGP000357</x:v>
      </x:c>
      <x:c r="B205" s="8" t="str">
        <x:v>Spitzer David M</x:v>
      </x:c>
      <x:c r="C205" s="8" t="str">
        <x:v>Spitzer</x:v>
      </x:c>
      <x:c r="D205" s="8" t="str">
        <x:v>M</x:v>
      </x:c>
      <x:c r="E205" s="8" t="str">
        <x:v>dspitze1@binghamton.edu</x:v>
      </x:c>
      <x:c r="F205" s="8" t="str">
        <x:v>binghamton.edu</x:v>
      </x:c>
      <x:c r="G205" s="8" t="str"/>
      <x:c r="H205" s="8" t="str"/>
      <x:c r="I205" s="8" t="str">
        <x:v>US</x:v>
      </x:c>
      <x:c r="J205" s="8" t="str">
        <x:v>PA</x:v>
      </x:c>
      <x:c r="K205" s="14" t="n">
        <x:v>2026</x:v>
      </x:c>
      <x:c r="L205" s="8" t="str">
        <x:v>Spitzer David M</x:v>
      </x:c>
      <x:c r="M205" s="8" t="str">
        <x:v>Spitzer</x:v>
      </x:c>
      <x:c r="N205" s="8" t="str">
        <x:v>M</x:v>
      </x:c>
      <x:c r="O205" s="8" t="str"/>
      <x:c r="P205" s="15" t="str"/>
      <x:c r="Q205" s="8" t="str">
        <x:v>Penn State Mont Alto</x:v>
      </x:c>
      <x:c r="R205" s="8" t="str">
        <x:v>Medium</x:v>
      </x:c>
      <x:c r="S205" s="15" t="str">
        <x:v>A current self-maintained profile says D. M. Spitzer teaches philosophy, literature, and mythology at Penn State Mont Alto; no official Penn State directory result was located.</x:v>
      </x:c>
      <x:c r="T205" s="8" t="str">
        <x:v>USA Eastern</x:v>
      </x:c>
      <x:c r="U205" s="8" t="str">
        <x:v>High</x:v>
      </x:c>
      <x:c r="V205" s="15" t="str">
        <x:v>Existing country and state</x:v>
      </x:c>
      <x:c r="W205" s="8" t="str">
        <x:v>https://independentscholar.academia.edu/DMSpitzer</x:v>
      </x:c>
      <x:c r="X205" s="8" t="str">
        <x:v>Institution, Region</x:v>
      </x:c>
      <x:c r="Y205" s="19" t="str">
        <x:v>Needs research</x:v>
      </x:c>
      <x:c r="Z205" s="20" t="str"/>
      <x:c r="AA205" s="21" t="str">
        <x:v>Binghamton was a graduate institution. Penn State Mont Alto is the strongest current lead, but official confirmation is still needed.</x:v>
      </x:c>
    </x:row>
    <x:row r="206">
      <x:c r="A206" s="8" t="str">
        <x:v>SAGP001370</x:v>
      </x:c>
      <x:c r="B206" s="8" t="str">
        <x:v>Stephen Artner</x:v>
      </x:c>
      <x:c r="C206" s="8" t="str">
        <x:v>Stephen</x:v>
      </x:c>
      <x:c r="D206" s="8" t="str">
        <x:v>Artner</x:v>
      </x:c>
      <x:c r="E206" s="8" t="str">
        <x:v>artner@bc.edu</x:v>
      </x:c>
      <x:c r="F206" s="8" t="str">
        <x:v>bc.edu</x:v>
      </x:c>
      <x:c r="G206" s="8" t="str">
        <x:v>Boston College</x:v>
      </x:c>
      <x:c r="H206" s="8" t="str">
        <x:v>USA Eastern</x:v>
      </x:c>
      <x:c r="I206" s="8" t="str">
        <x:v>US</x:v>
      </x:c>
      <x:c r="J206" s="8" t="str">
        <x:v>MA</x:v>
      </x:c>
      <x:c r="K206" s="14" t="n">
        <x:v>2027</x:v>
      </x:c>
      <x:c r="L206" s="8" t="str">
        <x:v>Stephen Artner</x:v>
      </x:c>
      <x:c r="M206" s="8" t="str">
        <x:v>Stephen</x:v>
      </x:c>
      <x:c r="N206" s="8" t="str">
        <x:v>Artner</x:v>
      </x:c>
      <x:c r="O206" s="8" t="str"/>
      <x:c r="P206" s="15" t="str"/>
      <x:c r="Q206" s="8" t="str">
        <x:v>Boston College</x:v>
      </x:c>
      <x:c r="R206" s="8" t="str">
        <x:v>Existing</x:v>
      </x:c>
      <x:c r="S206" s="15" t="str">
        <x:v>Existing database value</x:v>
      </x:c>
      <x:c r="T206" s="8" t="str">
        <x:v>USA Eastern</x:v>
      </x:c>
      <x:c r="U206" s="8" t="str">
        <x:v>Existing</x:v>
      </x:c>
      <x:c r="V206" s="15" t="str">
        <x:v>Existing database value</x:v>
      </x:c>
      <x:c r="W206" s="8" t="str"/>
      <x:c r="X206" s="8" t="str"/>
      <x:c r="Y206" s="8" t="str">
        <x:v>No change proposed</x:v>
      </x:c>
      <x:c r="Z206" s="20" t="str"/>
      <x:c r="AA206" s="21" t="str"/>
    </x:row>
    <x:row r="207">
      <x:c r="A207" s="8" t="str">
        <x:v>SAGP000755</x:v>
      </x:c>
      <x:c r="B207" s="8" t="str">
        <x:v>Steven Nadler</x:v>
      </x:c>
      <x:c r="C207" s="8" t="str">
        <x:v>Steven</x:v>
      </x:c>
      <x:c r="D207" s="8" t="str">
        <x:v>Nadler</x:v>
      </x:c>
      <x:c r="E207" s="8" t="str">
        <x:v>smnadler@wisc.edu</x:v>
      </x:c>
      <x:c r="F207" s="8" t="str">
        <x:v>wisc.edu</x:v>
      </x:c>
      <x:c r="G207" s="8" t="str"/>
      <x:c r="H207" s="8" t="str"/>
      <x:c r="I207" s="8" t="str"/>
      <x:c r="J207" s="8" t="str"/>
      <x:c r="K207" s="14" t="n">
        <x:v>2025</x:v>
      </x:c>
      <x:c r="L207" s="8" t="str">
        <x:v>Steven Nadler</x:v>
      </x:c>
      <x:c r="M207" s="8" t="str">
        <x:v>Steven</x:v>
      </x:c>
      <x:c r="N207" s="8" t="str">
        <x:v>Nadler</x:v>
      </x:c>
      <x:c r="O207" s="8" t="str"/>
      <x:c r="P207" s="15" t="str"/>
      <x:c r="Q207" s="8" t="str">
        <x:v>University of Wisconsin–Madison</x:v>
      </x:c>
      <x:c r="R207" s="8" t="str">
        <x:v>High</x:v>
      </x:c>
      <x:c r="S207" s="15" t="str">
        <x:v>Official UW–Madison profile lists Steven Nadler and the same email address.</x:v>
      </x:c>
      <x:c r="T207" s="8" t="str"/>
      <x:c r="U207" s="8" t="str"/>
      <x:c r="V207" s="15" t="str"/>
      <x:c r="W207" s="8" t="str">
        <x:v>https://philosophy.wisc.edu/staff/nadler-steven/</x:v>
      </x:c>
      <x:c r="X207" s="8" t="str">
        <x:v>Institution</x:v>
      </x:c>
      <x:c r="Y207" s="17" t="str">
        <x:v>Proposed change</x:v>
      </x:c>
      <x:c r="Z207" s="20" t="str"/>
      <x:c r="AA207" s="21" t="str"/>
    </x:row>
    <x:row r="208">
      <x:c r="A208" s="8" t="str">
        <x:v>SAGP001193</x:v>
      </x:c>
      <x:c r="B208" s="8" t="str">
        <x:v>Stuart J. Murray</x:v>
      </x:c>
      <x:c r="C208" s="8" t="str">
        <x:v>Stuart J.</x:v>
      </x:c>
      <x:c r="D208" s="8" t="str">
        <x:v>Murray</x:v>
      </x:c>
      <x:c r="E208" s="8" t="str">
        <x:v>StuartMurray@CUNET.CARLETON.CA</x:v>
      </x:c>
      <x:c r="F208" s="8" t="str">
        <x:v>cunet.carleton.ca</x:v>
      </x:c>
      <x:c r="G208" s="8" t="str"/>
      <x:c r="H208" s="8" t="str"/>
      <x:c r="I208" s="8" t="str">
        <x:v>CA</x:v>
      </x:c>
      <x:c r="J208" s="8" t="str">
        <x:v>ON</x:v>
      </x:c>
      <x:c r="K208" s="14" t="n">
        <x:v>2027</x:v>
      </x:c>
      <x:c r="L208" s="8" t="str">
        <x:v>Stuart J. Murray</x:v>
      </x:c>
      <x:c r="M208" s="8" t="str">
        <x:v>Stuart J.</x:v>
      </x:c>
      <x:c r="N208" s="8" t="str">
        <x:v>Murray</x:v>
      </x:c>
      <x:c r="O208" s="8" t="str"/>
      <x:c r="P208" s="15" t="str"/>
      <x:c r="Q208" s="8" t="str">
        <x:v>Carleton University</x:v>
      </x:c>
      <x:c r="R208" s="8" t="str">
        <x:v>High</x:v>
      </x:c>
      <x:c r="S208" s="15" t="str">
        <x:v>Official Carleton University profile lists Stuart J. Murray and the same email address.</x:v>
      </x:c>
      <x:c r="T208" s="8" t="str">
        <x:v>Canada</x:v>
      </x:c>
      <x:c r="U208" s="8" t="str">
        <x:v>High</x:v>
      </x:c>
      <x:c r="V208" s="15" t="str">
        <x:v>Existing country</x:v>
      </x:c>
      <x:c r="W208" s="8" t="str">
        <x:v>https://carleton.ca/english/people/stuart-murray/</x:v>
      </x:c>
      <x:c r="X208" s="8" t="str">
        <x:v>Institution, Region</x:v>
      </x:c>
      <x:c r="Y208" s="17" t="str">
        <x:v>Proposed change</x:v>
      </x:c>
      <x:c r="Z208" s="20" t="str"/>
      <x:c r="AA208" s="21" t="str"/>
    </x:row>
    <x:row r="209">
      <x:c r="A209" s="8" t="str">
        <x:v>SAGP000784</x:v>
      </x:c>
      <x:c r="B209" s="8" t="str">
        <x:v>Susan Brower-Toland</x:v>
      </x:c>
      <x:c r="C209" s="8" t="str">
        <x:v>Susan</x:v>
      </x:c>
      <x:c r="D209" s="8" t="str">
        <x:v>Brower-Toland</x:v>
      </x:c>
      <x:c r="E209" s="8" t="str">
        <x:v>browers@slu.edu</x:v>
      </x:c>
      <x:c r="F209" s="8" t="str">
        <x:v>slu.edu</x:v>
      </x:c>
      <x:c r="G209" s="8" t="str"/>
      <x:c r="H209" s="8" t="str"/>
      <x:c r="I209" s="8" t="str"/>
      <x:c r="J209" s="8" t="str"/>
      <x:c r="K209" s="14" t="n">
        <x:v>2029</x:v>
      </x:c>
      <x:c r="L209" s="8" t="str">
        <x:v>Susan Brower-Toland</x:v>
      </x:c>
      <x:c r="M209" s="8" t="str">
        <x:v>Susan</x:v>
      </x:c>
      <x:c r="N209" s="8" t="str">
        <x:v>Brower-Toland</x:v>
      </x:c>
      <x:c r="O209" s="8" t="str"/>
      <x:c r="P209" s="15" t="str"/>
      <x:c r="Q209" s="8" t="str">
        <x:v>Saint Louis University</x:v>
      </x:c>
      <x:c r="R209" s="8" t="str">
        <x:v>High</x:v>
      </x:c>
      <x:c r="S209" s="15" t="str">
        <x:v>Official Saint Louis University faculty page lists Susan Brower-Toland.</x:v>
      </x:c>
      <x:c r="T209" s="8" t="str"/>
      <x:c r="U209" s="8" t="str"/>
      <x:c r="V209" s="15" t="str"/>
      <x:c r="W209" s="8" t="str">
        <x:v>https://www.slu.edu/arts-and-sciences/philosophy/faculty/index.php</x:v>
      </x:c>
      <x:c r="X209" s="8" t="str">
        <x:v>Institution</x:v>
      </x:c>
      <x:c r="Y209" s="17" t="str">
        <x:v>Proposed change</x:v>
      </x:c>
      <x:c r="Z209" s="20" t="str"/>
      <x:c r="AA209" s="21" t="str"/>
    </x:row>
    <x:row r="210">
      <x:c r="A210" s="8" t="str">
        <x:v>SAGP001587</x:v>
      </x:c>
      <x:c r="B210" s="8" t="str">
        <x:v>Susan Levin</x:v>
      </x:c>
      <x:c r="C210" s="8" t="str">
        <x:v>Susan</x:v>
      </x:c>
      <x:c r="D210" s="8" t="str">
        <x:v>Levin</x:v>
      </x:c>
      <x:c r="E210" s="8" t="str">
        <x:v>slevin@smith.edu</x:v>
      </x:c>
      <x:c r="F210" s="8" t="str">
        <x:v>smith.edu</x:v>
      </x:c>
      <x:c r="G210" s="8" t="str"/>
      <x:c r="H210" s="8" t="str"/>
      <x:c r="I210" s="8" t="str">
        <x:v>US</x:v>
      </x:c>
      <x:c r="J210" s="8" t="str"/>
      <x:c r="K210" s="14" t="n">
        <x:v>2028</x:v>
      </x:c>
      <x:c r="L210" s="8" t="str">
        <x:v>Susan Levin</x:v>
      </x:c>
      <x:c r="M210" s="8" t="str">
        <x:v>Susan</x:v>
      </x:c>
      <x:c r="N210" s="8" t="str">
        <x:v>Levin</x:v>
      </x:c>
      <x:c r="O210" s="8" t="str"/>
      <x:c r="P210" s="15" t="str"/>
      <x:c r="Q210" s="8" t="str">
        <x:v>Smith College</x:v>
      </x:c>
      <x:c r="R210" s="8" t="str">
        <x:v>High</x:v>
      </x:c>
      <x:c r="S210" s="15" t="str">
        <x:v>Official Smith College profile lists Susan B. Levin and the same email address.</x:v>
      </x:c>
      <x:c r="T210" s="8" t="str"/>
      <x:c r="U210" s="8" t="str"/>
      <x:c r="V210" s="15" t="str"/>
      <x:c r="W210" s="8" t="str">
        <x:v>https://www.smith.edu/people/susan-b-levin</x:v>
      </x:c>
      <x:c r="X210" s="8" t="str">
        <x:v>Institution</x:v>
      </x:c>
      <x:c r="Y210" s="17" t="str">
        <x:v>Proposed change</x:v>
      </x:c>
      <x:c r="Z210" s="20" t="str"/>
      <x:c r="AA210" s="21" t="str"/>
    </x:row>
    <x:row r="211">
      <x:c r="A211" s="8" t="str">
        <x:v>SAGP001763</x:v>
      </x:c>
      <x:c r="B211" s="8" t="str">
        <x:v>Suzanne Stern-Gillet</x:v>
      </x:c>
      <x:c r="C211" s="8" t="str">
        <x:v>Suzanne</x:v>
      </x:c>
      <x:c r="D211" s="8" t="str">
        <x:v>Stern-Gillet</x:v>
      </x:c>
      <x:c r="E211" s="8" t="str">
        <x:v>suzannesterngillet@gmail.com</x:v>
      </x:c>
      <x:c r="F211" s="8" t="str">
        <x:v>gmail.com</x:v>
      </x:c>
      <x:c r="G211" s="8" t="str"/>
      <x:c r="H211" s="8" t="str"/>
      <x:c r="I211" s="8" t="str">
        <x:v>UK</x:v>
      </x:c>
      <x:c r="J211" s="8" t="str">
        <x:v>Manchester</x:v>
      </x:c>
      <x:c r="K211" s="14" t="n">
        <x:v>2025</x:v>
      </x:c>
      <x:c r="L211" s="8" t="str">
        <x:v>Suzanne Stern-Gillet</x:v>
      </x:c>
      <x:c r="M211" s="8" t="str">
        <x:v>Suzanne</x:v>
      </x:c>
      <x:c r="N211" s="8" t="str">
        <x:v>Stern-Gillet</x:v>
      </x:c>
      <x:c r="O211" s="8" t="str"/>
      <x:c r="P211" s="15" t="str"/>
      <x:c r="Q211" s="8" t="str"/>
      <x:c r="R211" s="8" t="str"/>
      <x:c r="S211" s="15" t="str"/>
      <x:c r="T211" s="8" t="str">
        <x:v>Europe</x:v>
      </x:c>
      <x:c r="U211" s="8" t="str">
        <x:v>High</x:v>
      </x:c>
      <x:c r="V211" s="15" t="str">
        <x:v>Existing country</x:v>
      </x:c>
      <x:c r="W211" s="8" t="str"/>
      <x:c r="X211" s="8" t="str">
        <x:v>Region</x:v>
      </x:c>
      <x:c r="Y211" s="17" t="str">
        <x:v>Proposed change</x:v>
      </x:c>
      <x:c r="Z211" s="20" t="str"/>
      <x:c r="AA211" s="21" t="str"/>
    </x:row>
    <x:row r="212">
      <x:c r="A212" s="8" t="str">
        <x:v>SAGP000643</x:v>
      </x:c>
      <x:c r="B212" s="8" t="str">
        <x:v>Sylvia D Juscak</x:v>
      </x:c>
      <x:c r="C212" s="8" t="str">
        <x:v>Sylvia D</x:v>
      </x:c>
      <x:c r="D212" s="8" t="str">
        <x:v>Juscak</x:v>
      </x:c>
      <x:c r="E212" s="8" t="str">
        <x:v>juscak@uakron.edu</x:v>
      </x:c>
      <x:c r="F212" s="8" t="str">
        <x:v>uakron.edu</x:v>
      </x:c>
      <x:c r="G212" s="8" t="str"/>
      <x:c r="H212" s="8" t="str"/>
      <x:c r="I212" s="8" t="str"/>
      <x:c r="J212" s="8" t="str"/>
      <x:c r="K212" s="14" t="n">
        <x:v>2026</x:v>
      </x:c>
      <x:c r="L212" s="8" t="str">
        <x:v>Sylvia D Juscak</x:v>
      </x:c>
      <x:c r="M212" s="8" t="str">
        <x:v>Sylvia D</x:v>
      </x:c>
      <x:c r="N212" s="8" t="str">
        <x:v>Juscak</x:v>
      </x:c>
      <x:c r="O212" s="8" t="str"/>
      <x:c r="P212" s="15" t="str"/>
      <x:c r="Q212" s="8" t="str">
        <x:v>University of Akron</x:v>
      </x:c>
      <x:c r="R212" s="8" t="str">
        <x:v>High</x:v>
      </x:c>
      <x:c r="S212" s="15" t="str">
        <x:v>Official University of Akron records identify Sylvia D. Juscak with the Philosophy department and document her 2020 retirement; a retiree directory retains the same email address.</x:v>
      </x:c>
      <x:c r="T212" s="8" t="str"/>
      <x:c r="U212" s="8" t="str"/>
      <x:c r="V212" s="15" t="str"/>
      <x:c r="W212" s="8" t="str">
        <x:v>https://www.uakron.edu/auar/AUAR%20Web%20Directory%20List%20as%20of%209.15.22.pdf</x:v>
      </x:c>
      <x:c r="X212" s="8" t="str">
        <x:v>Institution</x:v>
      </x:c>
      <x:c r="Y212" s="17" t="str">
        <x:v>Proposed change</x:v>
      </x:c>
      <x:c r="Z212" s="20" t="str"/>
      <x:c r="AA212" s="21" t="str">
        <x:v>Confirmed historical University of Akron affiliation; current status is retiree rather than faculty.</x:v>
      </x:c>
    </x:row>
    <x:row r="213">
      <x:c r="A213" s="8" t="str">
        <x:v>SAGP001255</x:v>
      </x:c>
      <x:c r="B213" s="8" t="str">
        <x:v>Teresa Padilla</x:v>
      </x:c>
      <x:c r="C213" s="8" t="str">
        <x:v>Teresa</x:v>
      </x:c>
      <x:c r="D213" s="8" t="str">
        <x:v>Padilla</x:v>
      </x:c>
      <x:c r="E213" s="8" t="str">
        <x:v>mtpadilla25@hotmail.com</x:v>
      </x:c>
      <x:c r="F213" s="8" t="str">
        <x:v>hotmail.com</x:v>
      </x:c>
      <x:c r="G213" s="8" t="str"/>
      <x:c r="H213" s="8" t="str"/>
      <x:c r="I213" s="8" t="str">
        <x:v>MX</x:v>
      </x:c>
      <x:c r="J213" s="8" t="str"/>
      <x:c r="K213" s="14" t="n">
        <x:v>2025</x:v>
      </x:c>
      <x:c r="L213" s="8" t="str">
        <x:v>Teresa Padilla</x:v>
      </x:c>
      <x:c r="M213" s="8" t="str">
        <x:v>Teresa</x:v>
      </x:c>
      <x:c r="N213" s="8" t="str">
        <x:v>Padilla</x:v>
      </x:c>
      <x:c r="O213" s="8" t="str"/>
      <x:c r="P213" s="15" t="str"/>
      <x:c r="Q213" s="8" t="str"/>
      <x:c r="R213" s="8" t="str"/>
      <x:c r="S213" s="15" t="str"/>
      <x:c r="T213" s="8" t="str">
        <x:v>Latin America and Caribbean</x:v>
      </x:c>
      <x:c r="U213" s="8" t="str">
        <x:v>High</x:v>
      </x:c>
      <x:c r="V213" s="15" t="str">
        <x:v>Existing country</x:v>
      </x:c>
      <x:c r="W213" s="8" t="str"/>
      <x:c r="X213" s="8" t="str">
        <x:v>Region</x:v>
      </x:c>
      <x:c r="Y213" s="17" t="str">
        <x:v>Proposed change</x:v>
      </x:c>
      <x:c r="Z213" s="20" t="str"/>
      <x:c r="AA213" s="21" t="str"/>
    </x:row>
    <x:row r="214">
      <x:c r="A214" s="8" t="str">
        <x:v>SAGP000757</x:v>
      </x:c>
      <x:c r="B214" s="8" t="str">
        <x:v>Terry Penner</x:v>
      </x:c>
      <x:c r="C214" s="8" t="str">
        <x:v>Terry</x:v>
      </x:c>
      <x:c r="D214" s="8" t="str">
        <x:v>Penner</x:v>
      </x:c>
      <x:c r="E214" s="8" t="str">
        <x:v>tmpenner@facstaff.wisc.edu</x:v>
      </x:c>
      <x:c r="F214" s="8" t="str">
        <x:v>facstaff.wisc.edu</x:v>
      </x:c>
      <x:c r="G214" s="8" t="str"/>
      <x:c r="H214" s="8" t="str"/>
      <x:c r="I214" s="8" t="str"/>
      <x:c r="J214" s="8" t="str"/>
      <x:c r="K214" s="14" t="n">
        <x:v>2025</x:v>
      </x:c>
      <x:c r="L214" s="8" t="str">
        <x:v>Terry Penner</x:v>
      </x:c>
      <x:c r="M214" s="8" t="str">
        <x:v>Terry</x:v>
      </x:c>
      <x:c r="N214" s="8" t="str">
        <x:v>Penner</x:v>
      </x:c>
      <x:c r="O214" s="8" t="str"/>
      <x:c r="P214" s="15" t="str"/>
      <x:c r="Q214" s="8" t="str">
        <x:v>University of Wisconsin–Madison</x:v>
      </x:c>
      <x:c r="R214" s="8" t="str">
        <x:v>High</x:v>
      </x:c>
      <x:c r="S214" s="15" t="str">
        <x:v>Official UW–Madison Medieval Studies page lists Terry Penner under Philosophy.</x:v>
      </x:c>
      <x:c r="T214" s="8" t="str"/>
      <x:c r="U214" s="8" t="str"/>
      <x:c r="V214" s="15" t="str"/>
      <x:c r="W214" s="8" t="str">
        <x:v>https://medievalstudies.wisc.edu/faculty-members-with-medieval-interests/</x:v>
      </x:c>
      <x:c r="X214" s="8" t="str">
        <x:v>Institution</x:v>
      </x:c>
      <x:c r="Y214" s="17" t="str">
        <x:v>Proposed change</x:v>
      </x:c>
      <x:c r="Z214" s="20" t="str"/>
      <x:c r="AA214" s="21" t="str"/>
    </x:row>
    <x:row r="215">
      <x:c r="A215" s="8" t="str">
        <x:v>SAGP001262</x:v>
      </x:c>
      <x:c r="B215" s="8" t="str">
        <x:v>Theodoroudi Evangelia (Lia)</x:v>
      </x:c>
      <x:c r="C215" s="8" t="str">
        <x:v>Theodoroudi</x:v>
      </x:c>
      <x:c r="D215" s="8" t="str">
        <x:v>(Lia)</x:v>
      </x:c>
      <x:c r="E215" s="8" t="str">
        <x:v>liatheodoroudi@gmail.com</x:v>
      </x:c>
      <x:c r="F215" s="8" t="str">
        <x:v>gmail.com</x:v>
      </x:c>
      <x:c r="G215" s="8" t="str"/>
      <x:c r="H215" s="8" t="str"/>
      <x:c r="I215" s="8" t="str"/>
      <x:c r="J215" s="8" t="str"/>
      <x:c r="K215" s="14" t="n">
        <x:v>2025</x:v>
      </x:c>
      <x:c r="L215" s="8" t="str">
        <x:v>Theodoroudi Evangelia (Lia)</x:v>
      </x:c>
      <x:c r="M215" s="8" t="str">
        <x:v>Theodoroudi</x:v>
      </x:c>
      <x:c r="N215" s="8" t="str">
        <x:v>(Lia)</x:v>
      </x:c>
      <x:c r="O215" s="8" t="str"/>
      <x:c r="P215" s="15" t="str"/>
      <x:c r="Q215" s="8" t="str"/>
      <x:c r="R215" s="8" t="str"/>
      <x:c r="S215" s="15" t="str"/>
      <x:c r="T215" s="8" t="str"/>
      <x:c r="U215" s="8" t="str"/>
      <x:c r="V215" s="15" t="str"/>
      <x:c r="W215" s="8" t="str"/>
      <x:c r="X215" s="8" t="str"/>
      <x:c r="Y215" s="19" t="str">
        <x:v>Needs research</x:v>
      </x:c>
      <x:c r="Z215" s="20" t="str"/>
      <x:c r="AA215" s="21" t="str"/>
    </x:row>
    <x:row r="216">
      <x:c r="A216" s="8" t="str">
        <x:v>SAGP000550</x:v>
      </x:c>
      <x:c r="B216" s="8" t="str">
        <x:v>Thomas Olshewsky</x:v>
      </x:c>
      <x:c r="C216" s="8" t="str">
        <x:v>Thomas</x:v>
      </x:c>
      <x:c r="D216" s="8" t="str">
        <x:v>Olshewsky</x:v>
      </x:c>
      <x:c r="E216" s="8" t="str">
        <x:v>tolshewsky@verizon.net</x:v>
      </x:c>
      <x:c r="F216" s="8" t="str">
        <x:v>verizon.net</x:v>
      </x:c>
      <x:c r="G216" s="8" t="str"/>
      <x:c r="H216" s="8" t="str"/>
      <x:c r="I216" s="8" t="str">
        <x:v>US</x:v>
      </x:c>
      <x:c r="J216" s="8" t="str">
        <x:v>FL</x:v>
      </x:c>
      <x:c r="K216" s="14" t="n">
        <x:v>2025</x:v>
      </x:c>
      <x:c r="L216" s="8" t="str">
        <x:v>Thomas Olshewsky</x:v>
      </x:c>
      <x:c r="M216" s="8" t="str">
        <x:v>Thomas</x:v>
      </x:c>
      <x:c r="N216" s="8" t="str">
        <x:v>Olshewsky</x:v>
      </x:c>
      <x:c r="O216" s="8" t="str"/>
      <x:c r="P216" s="15" t="str"/>
      <x:c r="Q216" s="8" t="str"/>
      <x:c r="R216" s="8" t="str"/>
      <x:c r="S216" s="15" t="str"/>
      <x:c r="T216" s="8" t="str">
        <x:v>USA Eastern</x:v>
      </x:c>
      <x:c r="U216" s="8" t="str">
        <x:v>High</x:v>
      </x:c>
      <x:c r="V216" s="15" t="str">
        <x:v>Existing country and state</x:v>
      </x:c>
      <x:c r="W216" s="8" t="str"/>
      <x:c r="X216" s="8" t="str">
        <x:v>Region</x:v>
      </x:c>
      <x:c r="Y216" s="17" t="str">
        <x:v>Proposed change</x:v>
      </x:c>
      <x:c r="Z216" s="20" t="str"/>
      <x:c r="AA216" s="21" t="str"/>
    </x:row>
    <x:row r="217">
      <x:c r="A217" s="8" t="str">
        <x:v>SAGP000675</x:v>
      </x:c>
      <x:c r="B217" s="8" t="str">
        <x:v>Tiberiu Popa</x:v>
      </x:c>
      <x:c r="C217" s="8" t="str">
        <x:v>Tiberiu</x:v>
      </x:c>
      <x:c r="D217" s="8" t="str">
        <x:v>Popa</x:v>
      </x:c>
      <x:c r="E217" s="8" t="str">
        <x:v>tpopa@butler.edu</x:v>
      </x:c>
      <x:c r="F217" s="8" t="str">
        <x:v>butler.edu</x:v>
      </x:c>
      <x:c r="G217" s="8" t="str"/>
      <x:c r="H217" s="8" t="str"/>
      <x:c r="I217" s="8" t="str"/>
      <x:c r="J217" s="8" t="str">
        <x:v>IN</x:v>
      </x:c>
      <x:c r="K217" s="14" t="n">
        <x:v>2029</x:v>
      </x:c>
      <x:c r="L217" s="8" t="str">
        <x:v>Tiberiu Popa</x:v>
      </x:c>
      <x:c r="M217" s="8" t="str">
        <x:v>Tiberiu</x:v>
      </x:c>
      <x:c r="N217" s="8" t="str">
        <x:v>Popa</x:v>
      </x:c>
      <x:c r="O217" s="8" t="str"/>
      <x:c r="P217" s="15" t="str"/>
      <x:c r="Q217" s="8" t="str"/>
      <x:c r="R217" s="8" t="str">
        <x:v>Medium</x:v>
      </x:c>
      <x:c r="S217" s="15" t="str">
        <x:v>Butler University's student newspaper reported that Tiberiu Popa was no longer employed by Butler in January 2022; no subsequent academic affiliation was located.</x:v>
      </x:c>
      <x:c r="T217" s="8" t="str"/>
      <x:c r="U217" s="8" t="str"/>
      <x:c r="V217" s="15" t="str"/>
      <x:c r="W217" s="8" t="str">
        <x:v>https://thebutlercollegian.com/2022/01/former-butler-university-professor-arrested-on-child-pornography-charges/</x:v>
      </x:c>
      <x:c r="X217" s="8" t="str">
        <x:v>Institution</x:v>
      </x:c>
      <x:c r="Y217" s="19" t="str">
        <x:v>Needs research</x:v>
      </x:c>
      <x:c r="Z217" s="20" t="str"/>
      <x:c r="AA217" s="21" t="str">
        <x:v>Butler is a former affiliation and should not be presented as current. Current affiliation is unknown.</x:v>
      </x:c>
    </x:row>
    <x:row r="218">
      <x:c r="A218" s="8" t="str">
        <x:v>SAGP000812</x:v>
      </x:c>
      <x:c r="B218" s="8" t="str">
        <x:v>Timothy Huson</x:v>
      </x:c>
      <x:c r="C218" s="8" t="str">
        <x:v>Timothy</x:v>
      </x:c>
      <x:c r="D218" s="8" t="str">
        <x:v>Huson</x:v>
      </x:c>
      <x:c r="E218" s="8" t="str">
        <x:v>husontc95@yahoo.com</x:v>
      </x:c>
      <x:c r="F218" s="8" t="str">
        <x:v>yahoo.com</x:v>
      </x:c>
      <x:c r="G218" s="8" t="str"/>
      <x:c r="H218" s="8" t="str"/>
      <x:c r="I218" s="8" t="str"/>
      <x:c r="J218" s="8" t="str">
        <x:v>IL</x:v>
      </x:c>
      <x:c r="K218" s="14" t="n">
        <x:v>2025</x:v>
      </x:c>
      <x:c r="L218" s="8" t="str">
        <x:v>Timothy Huson</x:v>
      </x:c>
      <x:c r="M218" s="8" t="str">
        <x:v>Timothy</x:v>
      </x:c>
      <x:c r="N218" s="8" t="str">
        <x:v>Huson</x:v>
      </x:c>
      <x:c r="O218" s="8" t="str"/>
      <x:c r="P218" s="15" t="str"/>
      <x:c r="Q218" s="8" t="str"/>
      <x:c r="R218" s="8" t="str"/>
      <x:c r="S218" s="15" t="str"/>
      <x:c r="T218" s="8" t="str"/>
      <x:c r="U218" s="8" t="str"/>
      <x:c r="V218" s="15" t="str"/>
      <x:c r="W218" s="8" t="str"/>
      <x:c r="X218" s="8" t="str"/>
      <x:c r="Y218" s="19" t="str">
        <x:v>Needs research</x:v>
      </x:c>
      <x:c r="Z218" s="20" t="str"/>
      <x:c r="AA218" s="21" t="str"/>
    </x:row>
    <x:row r="219">
      <x:c r="A219" s="8" t="str">
        <x:v>SAGP000858</x:v>
      </x:c>
      <x:c r="B219" s="8" t="str">
        <x:v>Tom Tuozzo</x:v>
      </x:c>
      <x:c r="C219" s="8" t="str">
        <x:v>Tom</x:v>
      </x:c>
      <x:c r="D219" s="8" t="str">
        <x:v>Tuozzo</x:v>
      </x:c>
      <x:c r="E219" s="8" t="str">
        <x:v>ttuozzo@ku.edu</x:v>
      </x:c>
      <x:c r="F219" s="8" t="str">
        <x:v>ku.edu</x:v>
      </x:c>
      <x:c r="G219" s="8" t="str">
        <x:v>University of Kansas</x:v>
      </x:c>
      <x:c r="H219" s="8" t="str">
        <x:v>USA Central</x:v>
      </x:c>
      <x:c r="I219" s="8" t="str">
        <x:v>US</x:v>
      </x:c>
      <x:c r="J219" s="8" t="str">
        <x:v>KS</x:v>
      </x:c>
      <x:c r="K219" s="14" t="n">
        <x:v>2027</x:v>
      </x:c>
      <x:c r="L219" s="8" t="str">
        <x:v>Tom Tuozzo</x:v>
      </x:c>
      <x:c r="M219" s="8" t="str">
        <x:v>Tom</x:v>
      </x:c>
      <x:c r="N219" s="8" t="str">
        <x:v>Tuozzo</x:v>
      </x:c>
      <x:c r="O219" s="8" t="str"/>
      <x:c r="P219" s="15" t="str"/>
      <x:c r="Q219" s="8" t="str">
        <x:v>University of Kansas</x:v>
      </x:c>
      <x:c r="R219" s="8" t="str">
        <x:v>Existing</x:v>
      </x:c>
      <x:c r="S219" s="15" t="str">
        <x:v>Existing database value</x:v>
      </x:c>
      <x:c r="T219" s="8" t="str">
        <x:v>USA Central</x:v>
      </x:c>
      <x:c r="U219" s="8" t="str">
        <x:v>Existing</x:v>
      </x:c>
      <x:c r="V219" s="15" t="str">
        <x:v>Existing database value</x:v>
      </x:c>
      <x:c r="W219" s="8" t="str"/>
      <x:c r="X219" s="8" t="str"/>
      <x:c r="Y219" s="8" t="str">
        <x:v>No change proposed</x:v>
      </x:c>
      <x:c r="Z219" s="20" t="str"/>
      <x:c r="AA219" s="21" t="str"/>
    </x:row>
    <x:row r="220">
      <x:c r="A220" s="8" t="str">
        <x:v>SAGP000813</x:v>
      </x:c>
      <x:c r="B220" s="8" t="str">
        <x:v>Tushar Irani</x:v>
      </x:c>
      <x:c r="C220" s="8" t="str">
        <x:v>Tushar</x:v>
      </x:c>
      <x:c r="D220" s="8" t="str">
        <x:v>Irani</x:v>
      </x:c>
      <x:c r="E220" s="8" t="str">
        <x:v>tirani@wesleyan.edu</x:v>
      </x:c>
      <x:c r="F220" s="8" t="str">
        <x:v>wesleyan.edu</x:v>
      </x:c>
      <x:c r="G220" s="8" t="str"/>
      <x:c r="H220" s="8" t="str"/>
      <x:c r="I220" s="8" t="str"/>
      <x:c r="J220" s="8" t="str"/>
      <x:c r="K220" s="14" t="n">
        <x:v>2025</x:v>
      </x:c>
      <x:c r="L220" s="8" t="str">
        <x:v>Tushar Irani</x:v>
      </x:c>
      <x:c r="M220" s="8" t="str">
        <x:v>Tushar</x:v>
      </x:c>
      <x:c r="N220" s="8" t="str">
        <x:v>Irani</x:v>
      </x:c>
      <x:c r="O220" s="8" t="str"/>
      <x:c r="P220" s="15" t="str"/>
      <x:c r="Q220" s="8" t="str">
        <x:v>Wesleyan University</x:v>
      </x:c>
      <x:c r="R220" s="8" t="str">
        <x:v>High</x:v>
      </x:c>
      <x:c r="S220" s="15" t="str">
        <x:v>Official Wesleyan faculty site lists Tushar Irani and the same email address.</x:v>
      </x:c>
      <x:c r="T220" s="8" t="str"/>
      <x:c r="U220" s="8" t="str"/>
      <x:c r="V220" s="15" t="str"/>
      <x:c r="W220" s="8" t="str">
        <x:v>https://tirani.faculty.wesleyan.edu/</x:v>
      </x:c>
      <x:c r="X220" s="8" t="str">
        <x:v>Institution</x:v>
      </x:c>
      <x:c r="Y220" s="17" t="str">
        <x:v>Proposed change</x:v>
      </x:c>
      <x:c r="Z220" s="20" t="str"/>
      <x:c r="AA220" s="21" t="str"/>
    </x:row>
    <x:row r="221">
      <x:c r="A221" s="8" t="str">
        <x:v>SAGP000970</x:v>
      </x:c>
      <x:c r="B221" s="8" t="str">
        <x:v>Tyler Huismann</x:v>
      </x:c>
      <x:c r="C221" s="8" t="str">
        <x:v>Tyler</x:v>
      </x:c>
      <x:c r="D221" s="8" t="str">
        <x:v>Huismann</x:v>
      </x:c>
      <x:c r="E221" s="8" t="str">
        <x:v>tyler.huismann@colorado.edu</x:v>
      </x:c>
      <x:c r="F221" s="8" t="str">
        <x:v>colorado.edu</x:v>
      </x:c>
      <x:c r="G221" s="8" t="str"/>
      <x:c r="H221" s="8" t="str"/>
      <x:c r="I221" s="8" t="str"/>
      <x:c r="J221" s="8" t="str"/>
      <x:c r="K221" s="14" t="n">
        <x:v>2025</x:v>
      </x:c>
      <x:c r="L221" s="8" t="str">
        <x:v>Tyler Huismann</x:v>
      </x:c>
      <x:c r="M221" s="8" t="str">
        <x:v>Tyler</x:v>
      </x:c>
      <x:c r="N221" s="8" t="str">
        <x:v>Huismann</x:v>
      </x:c>
      <x:c r="O221" s="8" t="str"/>
      <x:c r="P221" s="15" t="str"/>
      <x:c r="Q221" s="8" t="str">
        <x:v>University of Colorado Boulder</x:v>
      </x:c>
      <x:c r="R221" s="8" t="str">
        <x:v>High</x:v>
      </x:c>
      <x:c r="S221" s="15" t="str">
        <x:v>Official University of Colorado class listing includes Tyler Huismann as a Philosophy instructor.</x:v>
      </x:c>
      <x:c r="T221" s="8" t="str"/>
      <x:c r="U221" s="8" t="str"/>
      <x:c r="V221" s="15" t="str"/>
      <x:c r="W221" s="8" t="str">
        <x:v>https://www.colorado.edu/registrar/media/1897</x:v>
      </x:c>
      <x:c r="X221" s="8" t="str">
        <x:v>Institution</x:v>
      </x:c>
      <x:c r="Y221" s="17" t="str">
        <x:v>Proposed change</x:v>
      </x:c>
      <x:c r="Z221" s="20" t="str"/>
      <x:c r="AA221" s="21" t="str"/>
    </x:row>
    <x:row r="222">
      <x:c r="A222" s="8" t="str">
        <x:v>SAGP000989</x:v>
      </x:c>
      <x:c r="B222" s="8" t="str">
        <x:v>Vaughan Barry</x:v>
      </x:c>
      <x:c r="C222" s="8" t="str">
        <x:v>Vaughan</x:v>
      </x:c>
      <x:c r="D222" s="8" t="str">
        <x:v>Barry</x:v>
      </x:c>
      <x:c r="E222" s="8" t="str">
        <x:v>bfvaughan@mesacc.edu</x:v>
      </x:c>
      <x:c r="F222" s="8" t="str">
        <x:v>mesacc.edu</x:v>
      </x:c>
      <x:c r="G222" s="8" t="str"/>
      <x:c r="H222" s="8" t="str"/>
      <x:c r="I222" s="8" t="str">
        <x:v>US</x:v>
      </x:c>
      <x:c r="J222" s="8" t="str">
        <x:v>AZ</x:v>
      </x:c>
      <x:c r="K222" s="14" t="n">
        <x:v>2025</x:v>
      </x:c>
      <x:c r="L222" s="8" t="str">
        <x:v>Vaughan Barry</x:v>
      </x:c>
      <x:c r="M222" s="8" t="str">
        <x:v>Vaughan</x:v>
      </x:c>
      <x:c r="N222" s="8" t="str">
        <x:v>Barry</x:v>
      </x:c>
      <x:c r="O222" s="8" t="str"/>
      <x:c r="P222" s="15" t="str"/>
      <x:c r="Q222" s="8" t="str">
        <x:v>Mesa Community College</x:v>
      </x:c>
      <x:c r="R222" s="8" t="str">
        <x:v>High</x:v>
      </x:c>
      <x:c r="S222" s="15" t="str">
        <x:v>Official Mesa Community College profile lists Barry F. Vaughan.</x:v>
      </x:c>
      <x:c r="T222" s="8" t="str">
        <x:v>USA Mountain</x:v>
      </x:c>
      <x:c r="U222" s="8" t="str">
        <x:v>High</x:v>
      </x:c>
      <x:c r="V222" s="15" t="str">
        <x:v>Existing country and state</x:v>
      </x:c>
      <x:c r="W222" s="8" t="str">
        <x:v>https://contacts.mesacc.edu/barry.vaughan</x:v>
      </x:c>
      <x:c r="X222" s="8" t="str">
        <x:v>Institution, Region</x:v>
      </x:c>
      <x:c r="Y222" s="17" t="str">
        <x:v>Proposed change</x:v>
      </x:c>
      <x:c r="Z222" s="20" t="str"/>
      <x:c r="AA222" s="21" t="str"/>
    </x:row>
    <x:row r="223">
      <x:c r="A223" s="8" t="str">
        <x:v>SAGP000152</x:v>
      </x:c>
      <x:c r="B223" s="8" t="str">
        <x:v>Vincent Renzi</x:v>
      </x:c>
      <x:c r="C223" s="8" t="str">
        <x:v>Vincent</x:v>
      </x:c>
      <x:c r="D223" s="8" t="str">
        <x:v>Renzi</x:v>
      </x:c>
      <x:c r="E223" s="8" t="str">
        <x:v>vrr1@nyu.edu</x:v>
      </x:c>
      <x:c r="F223" s="8" t="str">
        <x:v>nyu.edu</x:v>
      </x:c>
      <x:c r="G223" s="8" t="str"/>
      <x:c r="H223" s="8" t="str"/>
      <x:c r="I223" s="8" t="str">
        <x:v>US</x:v>
      </x:c>
      <x:c r="J223" s="8" t="str">
        <x:v>NY</x:v>
      </x:c>
      <x:c r="K223" s="14" t="n">
        <x:v>2026</x:v>
      </x:c>
      <x:c r="L223" s="8" t="str">
        <x:v>Vincent Renzi</x:v>
      </x:c>
      <x:c r="M223" s="8" t="str">
        <x:v>Vincent</x:v>
      </x:c>
      <x:c r="N223" s="8" t="str">
        <x:v>Renzi</x:v>
      </x:c>
      <x:c r="O223" s="8" t="str"/>
      <x:c r="P223" s="15" t="str"/>
      <x:c r="Q223" s="8" t="str">
        <x:v>New York University</x:v>
      </x:c>
      <x:c r="R223" s="8" t="str">
        <x:v>High</x:v>
      </x:c>
      <x:c r="S223" s="15" t="str">
        <x:v>Official current NYU graduate bulletin lists Vincent Renzi.</x:v>
      </x:c>
      <x:c r="T223" s="8" t="str">
        <x:v>USA Eastern</x:v>
      </x:c>
      <x:c r="U223" s="8" t="str">
        <x:v>High</x:v>
      </x:c>
      <x:c r="V223" s="15" t="str">
        <x:v>Existing country and state</x:v>
      </x:c>
      <x:c r="W223" s="8" t="str">
        <x:v>https://bulletins.nyu.edu/graduate/arts-science/arts-science.pdf</x:v>
      </x:c>
      <x:c r="X223" s="8" t="str">
        <x:v>Institution, Region</x:v>
      </x:c>
      <x:c r="Y223" s="17" t="str">
        <x:v>Proposed change</x:v>
      </x:c>
      <x:c r="Z223" s="20" t="str"/>
      <x:c r="AA223" s="21" t="str"/>
    </x:row>
    <x:row r="224">
      <x:c r="A224" s="8" t="str">
        <x:v>SAGP000469</x:v>
      </x:c>
      <x:c r="B224" s="8" t="str">
        <x:v>W. Thomas Schmid</x:v>
      </x:c>
      <x:c r="C224" s="8" t="str">
        <x:v>W. Thomas</x:v>
      </x:c>
      <x:c r="D224" s="8" t="str">
        <x:v>Schmid</x:v>
      </x:c>
      <x:c r="E224" s="8" t="str">
        <x:v>schmidt@uncw.edu</x:v>
      </x:c>
      <x:c r="F224" s="8" t="str">
        <x:v>uncw.edu</x:v>
      </x:c>
      <x:c r="G224" s="8" t="str">
        <x:v>University of North Carolina at Wilmington</x:v>
      </x:c>
      <x:c r="H224" s="8" t="str">
        <x:v>USA Eastern</x:v>
      </x:c>
      <x:c r="I224" s="8" t="str">
        <x:v>US</x:v>
      </x:c>
      <x:c r="J224" s="8" t="str">
        <x:v>NC</x:v>
      </x:c>
      <x:c r="K224" s="14" t="n">
        <x:v>2031</x:v>
      </x:c>
      <x:c r="L224" s="8" t="str">
        <x:v>W. Thomas Schmid</x:v>
      </x:c>
      <x:c r="M224" s="8" t="str">
        <x:v>W. Thomas</x:v>
      </x:c>
      <x:c r="N224" s="8" t="str">
        <x:v>Schmid</x:v>
      </x:c>
      <x:c r="O224" s="8" t="str"/>
      <x:c r="P224" s="15" t="str"/>
      <x:c r="Q224" s="8" t="str">
        <x:v>University of North Carolina at Wilmington</x:v>
      </x:c>
      <x:c r="R224" s="8" t="str">
        <x:v>Existing</x:v>
      </x:c>
      <x:c r="S224" s="15" t="str">
        <x:v>Existing database value</x:v>
      </x:c>
      <x:c r="T224" s="8" t="str">
        <x:v>USA Eastern</x:v>
      </x:c>
      <x:c r="U224" s="8" t="str">
        <x:v>Existing</x:v>
      </x:c>
      <x:c r="V224" s="15" t="str">
        <x:v>Existing database value</x:v>
      </x:c>
      <x:c r="W224" s="8" t="str"/>
      <x:c r="X224" s="8" t="str"/>
      <x:c r="Y224" s="8" t="str">
        <x:v>No change proposed</x:v>
      </x:c>
      <x:c r="Z224" s="20" t="str"/>
      <x:c r="AA224" s="21" t="str"/>
    </x:row>
    <x:row r="225">
      <x:c r="A225" s="8" t="str">
        <x:v>SAGP001032</x:v>
      </x:c>
      <x:c r="B225" s="8" t="str">
        <x:v>Walter Englert</x:v>
      </x:c>
      <x:c r="C225" s="8" t="str">
        <x:v>Walter</x:v>
      </x:c>
      <x:c r="D225" s="8" t="str">
        <x:v>Englert</x:v>
      </x:c>
      <x:c r="E225" s="8" t="str">
        <x:v>walter.englert@reed.edu</x:v>
      </x:c>
      <x:c r="F225" s="8" t="str">
        <x:v>reed.edu</x:v>
      </x:c>
      <x:c r="G225" s="8" t="str"/>
      <x:c r="H225" s="8" t="str"/>
      <x:c r="I225" s="8" t="str"/>
      <x:c r="J225" s="8" t="str"/>
      <x:c r="K225" s="14" t="n">
        <x:v>2030</x:v>
      </x:c>
      <x:c r="L225" s="8" t="str">
        <x:v>Walter Englert</x:v>
      </x:c>
      <x:c r="M225" s="8" t="str">
        <x:v>Walter</x:v>
      </x:c>
      <x:c r="N225" s="8" t="str">
        <x:v>Englert</x:v>
      </x:c>
      <x:c r="O225" s="8" t="str"/>
      <x:c r="P225" s="15" t="str"/>
      <x:c r="Q225" s="8" t="str">
        <x:v>Reed College</x:v>
      </x:c>
      <x:c r="R225" s="8" t="str">
        <x:v>High</x:v>
      </x:c>
      <x:c r="S225" s="15" t="str">
        <x:v>Official Reed profile lists Walter Englert and the same email address; professor emeritus.</x:v>
      </x:c>
      <x:c r="T225" s="8" t="str"/>
      <x:c r="U225" s="8" t="str"/>
      <x:c r="V225" s="15" t="str"/>
      <x:c r="W225" s="8" t="str">
        <x:v>https://www.reed.edu/classics/faculty/englert/</x:v>
      </x:c>
      <x:c r="X225" s="8" t="str">
        <x:v>Institution</x:v>
      </x:c>
      <x:c r="Y225" s="17" t="str">
        <x:v>Proposed change</x:v>
      </x:c>
      <x:c r="Z225" s="20" t="str"/>
      <x:c r="AA225" s="21" t="str"/>
    </x:row>
    <x:row r="226">
      <x:c r="A226" s="8" t="str">
        <x:v>SAGP000492</x:v>
      </x:c>
      <x:c r="B226" s="8" t="str">
        <x:v>Walz Nicholas</x:v>
      </x:c>
      <x:c r="C226" s="8" t="str">
        <x:v>Walz</x:v>
      </x:c>
      <x:c r="D226" s="8" t="str">
        <x:v>Nicholas</x:v>
      </x:c>
      <x:c r="E226" s="8" t="str">
        <x:v>walzn@cua.edu</x:v>
      </x:c>
      <x:c r="F226" s="8" t="str">
        <x:v>cua.edu</x:v>
      </x:c>
      <x:c r="G226" s="8" t="str">
        <x:v>CUA</x:v>
      </x:c>
      <x:c r="H226" s="8" t="str"/>
      <x:c r="I226" s="8" t="str"/>
      <x:c r="J226" s="8" t="str"/>
      <x:c r="K226" s="14" t="n">
        <x:v>2025</x:v>
      </x:c>
      <x:c r="L226" s="8" t="str">
        <x:v>Walz Nicholas</x:v>
      </x:c>
      <x:c r="M226" s="8" t="str">
        <x:v>Walz</x:v>
      </x:c>
      <x:c r="N226" s="8" t="str">
        <x:v>Nicholas</x:v>
      </x:c>
      <x:c r="O226" s="8" t="str"/>
      <x:c r="P226" s="15" t="str"/>
      <x:c r="Q226" s="8" t="str">
        <x:v>CUA</x:v>
      </x:c>
      <x:c r="R226" s="8" t="str">
        <x:v>Existing</x:v>
      </x:c>
      <x:c r="S226" s="15" t="str">
        <x:v>Existing database value</x:v>
      </x:c>
      <x:c r="T226" s="8" t="str"/>
      <x:c r="U226" s="8" t="str"/>
      <x:c r="V226" s="15" t="str"/>
      <x:c r="W226" s="8" t="str"/>
      <x:c r="X226" s="8" t="str"/>
      <x:c r="Y226" s="19" t="str">
        <x:v>Needs research</x:v>
      </x:c>
      <x:c r="Z226" s="20" t="str"/>
      <x:c r="AA226" s="21" t="str"/>
    </x:row>
    <x:row r="227">
      <x:c r="A227" s="8" t="str">
        <x:v>SAGP000579</x:v>
      </x:c>
      <x:c r="B227" s="8" t="str">
        <x:v>Wendell George</x:v>
      </x:c>
      <x:c r="C227" s="8" t="str">
        <x:v>Wendell</x:v>
      </x:c>
      <x:c r="D227" s="8" t="str">
        <x:v>George</x:v>
      </x:c>
      <x:c r="E227" s="8" t="str">
        <x:v>wcountbasie@aol.com</x:v>
      </x:c>
      <x:c r="F227" s="8" t="str">
        <x:v>aol.com</x:v>
      </x:c>
      <x:c r="G227" s="8" t="str"/>
      <x:c r="H227" s="8" t="str"/>
      <x:c r="I227" s="8" t="str">
        <x:v>US</x:v>
      </x:c>
      <x:c r="J227" s="8" t="str">
        <x:v>FL</x:v>
      </x:c>
      <x:c r="K227" s="14" t="n">
        <x:v>2025</x:v>
      </x:c>
      <x:c r="L227" s="8" t="str">
        <x:v>Wendell George</x:v>
      </x:c>
      <x:c r="M227" s="8" t="str">
        <x:v>Wendell</x:v>
      </x:c>
      <x:c r="N227" s="8" t="str">
        <x:v>George</x:v>
      </x:c>
      <x:c r="O227" s="8" t="str"/>
      <x:c r="P227" s="15" t="str"/>
      <x:c r="Q227" s="8" t="str"/>
      <x:c r="R227" s="8" t="str"/>
      <x:c r="S227" s="15" t="str"/>
      <x:c r="T227" s="8" t="str">
        <x:v>USA Eastern</x:v>
      </x:c>
      <x:c r="U227" s="8" t="str">
        <x:v>High</x:v>
      </x:c>
      <x:c r="V227" s="15" t="str">
        <x:v>Existing country and state</x:v>
      </x:c>
      <x:c r="W227" s="8" t="str"/>
      <x:c r="X227" s="8" t="str">
        <x:v>Region</x:v>
      </x:c>
      <x:c r="Y227" s="17" t="str">
        <x:v>Proposed change</x:v>
      </x:c>
      <x:c r="Z227" s="20" t="str"/>
      <x:c r="AA227" s="21" t="str"/>
    </x:row>
    <x:row r="228">
      <x:c r="A228" s="8" t="str">
        <x:v>SAGP000014</x:v>
      </x:c>
      <x:c r="B228" s="8" t="str">
        <x:v>William Gruen</x:v>
      </x:c>
      <x:c r="C228" s="8" t="str">
        <x:v>William</x:v>
      </x:c>
      <x:c r="D228" s="8" t="str">
        <x:v>Gruen</x:v>
      </x:c>
      <x:c r="E228" s="8" t="str">
        <x:v>wgg11@scarletmail.rutgers.edu</x:v>
      </x:c>
      <x:c r="F228" s="8" t="str">
        <x:v>scarletmail.rutgers.edu</x:v>
      </x:c>
      <x:c r="G228" s="8" t="str">
        <x:v>Rutgers University</x:v>
      </x:c>
      <x:c r="H228" s="8" t="str">
        <x:v>USA Eastern</x:v>
      </x:c>
      <x:c r="I228" s="8" t="str">
        <x:v>US</x:v>
      </x:c>
      <x:c r="J228" s="8" t="str">
        <x:v>NJ</x:v>
      </x:c>
      <x:c r="K228" s="14" t="n">
        <x:v>2031</x:v>
      </x:c>
      <x:c r="L228" s="8" t="str">
        <x:v>William Gruen</x:v>
      </x:c>
      <x:c r="M228" s="8" t="str">
        <x:v>William</x:v>
      </x:c>
      <x:c r="N228" s="8" t="str">
        <x:v>Gruen</x:v>
      </x:c>
      <x:c r="O228" s="8" t="str"/>
      <x:c r="P228" s="15" t="str"/>
      <x:c r="Q228" s="8" t="str">
        <x:v>Rutgers University</x:v>
      </x:c>
      <x:c r="R228" s="8" t="str">
        <x:v>Existing</x:v>
      </x:c>
      <x:c r="S228" s="15" t="str">
        <x:v>Existing database value</x:v>
      </x:c>
      <x:c r="T228" s="8" t="str">
        <x:v>USA Eastern</x:v>
      </x:c>
      <x:c r="U228" s="8" t="str">
        <x:v>Existing</x:v>
      </x:c>
      <x:c r="V228" s="15" t="str">
        <x:v>Existing database value</x:v>
      </x:c>
      <x:c r="W228" s="8" t="str"/>
      <x:c r="X228" s="8" t="str"/>
      <x:c r="Y228" s="8" t="str">
        <x:v>No change proposed</x:v>
      </x:c>
      <x:c r="Z228" s="20" t="str"/>
      <x:c r="AA228" s="21" t="str"/>
    </x:row>
    <x:row r="229">
      <x:c r="A229" s="8" t="str">
        <x:v>SAGP001095</x:v>
      </x:c>
      <x:c r="B229" s="8" t="str">
        <x:v>William J. Prior</x:v>
      </x:c>
      <x:c r="C229" s="8" t="str">
        <x:v>William J.</x:v>
      </x:c>
      <x:c r="D229" s="8" t="str">
        <x:v>Prior</x:v>
      </x:c>
      <x:c r="E229" s="8" t="str">
        <x:v>wprior@scu.edu</x:v>
      </x:c>
      <x:c r="F229" s="8" t="str">
        <x:v>scu.edu</x:v>
      </x:c>
      <x:c r="G229" s="8" t="str"/>
      <x:c r="H229" s="8" t="str"/>
      <x:c r="I229" s="8" t="str">
        <x:v>US</x:v>
      </x:c>
      <x:c r="J229" s="8" t="str">
        <x:v>CA</x:v>
      </x:c>
      <x:c r="K229" s="14" t="n">
        <x:v>2025</x:v>
      </x:c>
      <x:c r="L229" s="8" t="str">
        <x:v>William J. Prior</x:v>
      </x:c>
      <x:c r="M229" s="8" t="str">
        <x:v>William J.</x:v>
      </x:c>
      <x:c r="N229" s="8" t="str">
        <x:v>Prior</x:v>
      </x:c>
      <x:c r="O229" s="8" t="str"/>
      <x:c r="P229" s="15" t="str"/>
      <x:c r="Q229" s="8" t="str">
        <x:v>Santa Clara University</x:v>
      </x:c>
      <x:c r="R229" s="8" t="str">
        <x:v>High</x:v>
      </x:c>
      <x:c r="S229" s="15" t="str">
        <x:v>Official Santa Clara bulletin lists William J. Prior as Professor of Philosophy, Emeritus.</x:v>
      </x:c>
      <x:c r="T229" s="8" t="str">
        <x:v>USA Western</x:v>
      </x:c>
      <x:c r="U229" s="8" t="str">
        <x:v>High</x:v>
      </x:c>
      <x:c r="V229" s="15" t="str">
        <x:v>Existing country and state</x:v>
      </x:c>
      <x:c r="W229" s="8" t="str">
        <x:v>https://www.scu.edu/bulletin/undergraduate/appendices/faculty.html</x:v>
      </x:c>
      <x:c r="X229" s="8" t="str">
        <x:v>Institution, Region</x:v>
      </x:c>
      <x:c r="Y229" s="17" t="str">
        <x:v>Proposed change</x:v>
      </x:c>
      <x:c r="Z229" s="20" t="str"/>
      <x:c r="AA229" s="21" t="str"/>
    </x:row>
    <x:row r="230">
      <x:c r="A230" s="8" t="str">
        <x:v>SAGP000044</x:v>
      </x:c>
      <x:c r="B230" s="8" t="str">
        <x:v>Woodcock Norah</x:v>
      </x:c>
      <x:c r="C230" s="8" t="str">
        <x:v>Woodcock</x:v>
      </x:c>
      <x:c r="D230" s="8" t="str">
        <x:v>Norah</x:v>
      </x:c>
      <x:c r="E230" s="8" t="str">
        <x:v>norahw@princeton.edu</x:v>
      </x:c>
      <x:c r="F230" s="8" t="str">
        <x:v>princeton.edu</x:v>
      </x:c>
      <x:c r="G230" s="8" t="str"/>
      <x:c r="H230" s="8" t="str"/>
      <x:c r="I230" s="8" t="str"/>
      <x:c r="J230" s="8" t="str"/>
      <x:c r="K230" s="14" t="n">
        <x:v>2025</x:v>
      </x:c>
      <x:c r="L230" s="8" t="str">
        <x:v>Woodcock Norah</x:v>
      </x:c>
      <x:c r="M230" s="8" t="str">
        <x:v>Woodcock</x:v>
      </x:c>
      <x:c r="N230" s="8" t="str">
        <x:v>Norah</x:v>
      </x:c>
      <x:c r="O230" s="8" t="str"/>
      <x:c r="P230" s="15" t="str"/>
      <x:c r="Q230" s="8" t="str">
        <x:v>Princeton University</x:v>
      </x:c>
      <x:c r="R230" s="8" t="str">
        <x:v>High</x:v>
      </x:c>
      <x:c r="S230" s="15" t="str">
        <x:v>Official Princeton Classical Philosophy page lists Norah Woodcock as a postgraduate research associate.</x:v>
      </x:c>
      <x:c r="T230" s="8" t="str"/>
      <x:c r="U230" s="8" t="str"/>
      <x:c r="V230" s="15" t="str"/>
      <x:c r="W230" s="8" t="str">
        <x:v>https://classicalphilosophy.princeton.edu/people</x:v>
      </x:c>
      <x:c r="X230" s="8" t="str">
        <x:v>Institution</x:v>
      </x:c>
      <x:c r="Y230" s="17" t="str">
        <x:v>Proposed change</x:v>
      </x:c>
      <x:c r="Z230" s="20" t="str"/>
      <x:c r="AA230" s="21" t="str"/>
    </x:row>
    <x:row r="231">
      <x:c r="A231" s="8" t="str">
        <x:v>SAGP000995</x:v>
      </x:c>
      <x:c r="B231" s="8" t="str">
        <x:v>Wynne John P.F.</x:v>
      </x:c>
      <x:c r="C231" s="8" t="str">
        <x:v>Wynne</x:v>
      </x:c>
      <x:c r="D231" s="8" t="str">
        <x:v>P.F.</x:v>
      </x:c>
      <x:c r="E231" s="8" t="str">
        <x:v>john.wynne@utah.edu</x:v>
      </x:c>
      <x:c r="F231" s="8" t="str">
        <x:v>utah.edu</x:v>
      </x:c>
      <x:c r="G231" s="8" t="str"/>
      <x:c r="H231" s="8" t="str"/>
      <x:c r="I231" s="8" t="str"/>
      <x:c r="J231" s="8" t="str"/>
      <x:c r="K231" s="14" t="n">
        <x:v>2025</x:v>
      </x:c>
      <x:c r="L231" s="8" t="str">
        <x:v>Wynne John P.F.</x:v>
      </x:c>
      <x:c r="M231" s="8" t="str">
        <x:v>Wynne</x:v>
      </x:c>
      <x:c r="N231" s="8" t="str">
        <x:v>P.F.</x:v>
      </x:c>
      <x:c r="O231" s="8" t="str"/>
      <x:c r="P231" s="15" t="str"/>
      <x:c r="Q231" s="8" t="str">
        <x:v>University of Utah</x:v>
      </x:c>
      <x:c r="R231" s="8" t="str">
        <x:v>High</x:v>
      </x:c>
      <x:c r="S231" s="15" t="str">
        <x:v>Official University of Utah Philosophy directory lists John Wynne and the same email address.</x:v>
      </x:c>
      <x:c r="T231" s="8" t="str"/>
      <x:c r="U231" s="8" t="str"/>
      <x:c r="V231" s="15" t="str"/>
      <x:c r="W231" s="8" t="str">
        <x:v>https://philosophy.utah.edu/directory/faculty.php</x:v>
      </x:c>
      <x:c r="X231" s="8" t="str">
        <x:v>Institution</x:v>
      </x:c>
      <x:c r="Y231" s="17" t="str">
        <x:v>Proposed change</x:v>
      </x:c>
      <x:c r="Z231" s="20" t="str"/>
      <x:c r="AA231" s="21" t="str"/>
    </x:row>
    <x:row r="232">
      <x:c r="A232" s="8" t="str">
        <x:v>SAGP000865</x:v>
      </x:c>
      <x:c r="B232" s="8" t="str">
        <x:v>Yang Xuan</x:v>
      </x:c>
      <x:c r="C232" s="8" t="str">
        <x:v>Yang</x:v>
      </x:c>
      <x:c r="D232" s="8" t="str">
        <x:v>Xuan</x:v>
      </x:c>
      <x:c r="E232" s="8" t="str">
        <x:v>xyang32@huskers.unl.edu</x:v>
      </x:c>
      <x:c r="F232" s="8" t="str">
        <x:v>huskers.unl.edu</x:v>
      </x:c>
      <x:c r="G232" s="8" t="str"/>
      <x:c r="H232" s="8" t="str"/>
      <x:c r="I232" s="8" t="str"/>
      <x:c r="J232" s="8" t="str"/>
      <x:c r="K232" s="14" t="n">
        <x:v>2030</x:v>
      </x:c>
      <x:c r="L232" s="8" t="str">
        <x:v>Yang Xuan</x:v>
      </x:c>
      <x:c r="M232" s="8" t="str">
        <x:v>Yang</x:v>
      </x:c>
      <x:c r="N232" s="8" t="str">
        <x:v>Xuan</x:v>
      </x:c>
      <x:c r="O232" s="8" t="str"/>
      <x:c r="P232" s="15" t="str"/>
      <x:c r="Q232" s="8" t="str">
        <x:v>University of Nebraska–Lincoln</x:v>
      </x:c>
      <x:c r="R232" s="8" t="str">
        <x:v>High</x:v>
      </x:c>
      <x:c r="S232" s="15" t="str">
        <x:v>Official University of Nebraska–Lincoln Philosophy site reports current research news for Yang.</x:v>
      </x:c>
      <x:c r="T232" s="8" t="str"/>
      <x:c r="U232" s="8" t="str"/>
      <x:c r="V232" s="15" t="str"/>
      <x:c r="W232" s="8" t="str">
        <x:v>https://philosophy.unl.edu/</x:v>
      </x:c>
      <x:c r="X232" s="8" t="str">
        <x:v>Institution</x:v>
      </x:c>
      <x:c r="Y232" s="19" t="str">
        <x:v>Needs research</x:v>
      </x:c>
      <x:c r="Z232" s="20" t="str"/>
      <x:c r="AA232" s="21" t="str">
        <x:v>Official page supports a current UNL affiliation, but the abbreviated name should still be checked against the full directory entry.</x:v>
      </x:c>
    </x:row>
    <x:row r="233">
      <x:c r="A233" s="8" t="str">
        <x:v>SAGP001201</x:v>
      </x:c>
      <x:c r="B233" s="8" t="str">
        <x:v>Zeev Perelmuter</x:v>
      </x:c>
      <x:c r="C233" s="8" t="str">
        <x:v>Zeev</x:v>
      </x:c>
      <x:c r="D233" s="8" t="str">
        <x:v>Perelmuter</x:v>
      </x:c>
      <x:c r="E233" s="8" t="str">
        <x:v>zeev.can@gmail.com</x:v>
      </x:c>
      <x:c r="F233" s="8" t="str">
        <x:v>gmail.com</x:v>
      </x:c>
      <x:c r="G233" s="8" t="str"/>
      <x:c r="H233" s="8" t="str"/>
      <x:c r="I233" s="8" t="str"/>
      <x:c r="J233" s="8" t="str"/>
      <x:c r="K233" s="14" t="n">
        <x:v>2025</x:v>
      </x:c>
      <x:c r="L233" s="8" t="str">
        <x:v>Zeev Perelmuter</x:v>
      </x:c>
      <x:c r="M233" s="8" t="str">
        <x:v>Zeev</x:v>
      </x:c>
      <x:c r="N233" s="8" t="str">
        <x:v>Perelmuter</x:v>
      </x:c>
      <x:c r="O233" s="8" t="str"/>
      <x:c r="P233" s="15" t="str"/>
      <x:c r="Q233" s="8" t="str"/>
      <x:c r="R233" s="8" t="str"/>
      <x:c r="S233" s="15" t="str"/>
      <x:c r="T233" s="8" t="str"/>
      <x:c r="U233" s="8" t="str"/>
      <x:c r="V233" s="15" t="str"/>
      <x:c r="W233" s="8" t="str"/>
      <x:c r="X233" s="8" t="str"/>
      <x:c r="Y233" s="19" t="str">
        <x:v>Needs research</x:v>
      </x:c>
      <x:c r="Z233" s="20" t="str"/>
      <x:c r="AA233" s="21" t="str"/>
    </x:row>
    <x:row r="234">
      <x:c r="A234" s="8" t="str">
        <x:v>SAGP001121</x:v>
      </x:c>
      <x:c r="B234" s="8" t="str">
        <x:v>Zhang Jiakai</x:v>
      </x:c>
      <x:c r="C234" s="8" t="str">
        <x:v>Zhang</x:v>
      </x:c>
      <x:c r="D234" s="8" t="str">
        <x:v>Jiakai</x:v>
      </x:c>
      <x:c r="E234" s="8" t="str">
        <x:v>jzhang19@humnet.ucla.edu</x:v>
      </x:c>
      <x:c r="F234" s="8" t="str">
        <x:v>humnet.ucla.edu</x:v>
      </x:c>
      <x:c r="G234" s="8" t="str"/>
      <x:c r="H234" s="8" t="str"/>
      <x:c r="I234" s="8" t="str">
        <x:v>US</x:v>
      </x:c>
      <x:c r="J234" s="8" t="str">
        <x:v>CA</x:v>
      </x:c>
      <x:c r="K234" s="14" t="n">
        <x:v>2027</x:v>
      </x:c>
      <x:c r="L234" s="8" t="str">
        <x:v>Zhang Jiakai</x:v>
      </x:c>
      <x:c r="M234" s="8" t="str">
        <x:v>Zhang</x:v>
      </x:c>
      <x:c r="N234" s="8" t="str">
        <x:v>Jiakai</x:v>
      </x:c>
      <x:c r="O234" s="8" t="str"/>
      <x:c r="P234" s="15" t="str"/>
      <x:c r="Q234" s="8" t="str">
        <x:v>University of California, Los Angeles</x:v>
      </x:c>
      <x:c r="R234" s="8" t="str">
        <x:v>High</x:v>
      </x:c>
      <x:c r="S234" s="15" t="str">
        <x:v>Official UCLA Classics profile lists Jiakai Zhang and the same email address.</x:v>
      </x:c>
      <x:c r="T234" s="8" t="str">
        <x:v>USA Western</x:v>
      </x:c>
      <x:c r="U234" s="8" t="str">
        <x:v>High</x:v>
      </x:c>
      <x:c r="V234" s="15" t="str">
        <x:v>Existing country and state</x:v>
      </x:c>
      <x:c r="W234" s="8" t="str">
        <x:v>https://classics.ucla.edu/person/jiakai-zhang/</x:v>
      </x:c>
      <x:c r="X234" s="8" t="str">
        <x:v>Institution, Region</x:v>
      </x:c>
      <x:c r="Y234" s="17" t="str">
        <x:v>Proposed change</x:v>
      </x:c>
      <x:c r="Z234" s="20" t="str"/>
      <x:c r="AA234" s="21" t="str"/>
    </x:row>
  </x:sheetData>
  <x:mergeCells>
    <x:mergeCell ref="A2:AA2"/>
    <x:mergeCell ref="A5:AA5"/>
  </x:mergeCells>
  <x:pageMargins left="0.7" right="0.7" top="0.75" bottom="0.75" header="0.3" footer="0.3"/>
  <x:tableParts count="1">
    <x:tablePart xmlns:r="http://schemas.openxmlformats.org/officeDocument/2006/relationships" r:id="R7508db185f51467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48" hidden="0" customWidth="1"/>
  </x:cols>
  <x:sheetData>
    <x:row r="2">
      <x:c r="A2" s="1" t="str">
        <x:v>Controlled regional vocabulary</x:v>
      </x:c>
    </x:row>
    <x:row r="4">
      <x:c r="A4" s="12" t="str">
        <x:v>Region</x:v>
      </x:c>
      <x:c r="B4" s="12" t="str">
        <x:v>Definition</x:v>
      </x:c>
      <x:c r="C4" s="12" t="str">
        <x:v>Assignment guidance</x:v>
      </x:c>
    </x:row>
    <x:row r="5">
      <x:c r="A5" s="23" t="str">
        <x:v>USA Eastern</x:v>
      </x:c>
      <x:c r="B5" s="24" t="str">
        <x:v>Eastern United States</x:v>
      </x:c>
      <x:c r="C5" s="24" t="str">
        <x:v>Use verified US state or institutional location.</x:v>
      </x:c>
    </x:row>
    <x:row r="6">
      <x:c r="A6" s="23" t="str">
        <x:v>USA Central</x:v>
      </x:c>
      <x:c r="B6" s="24" t="str">
        <x:v>Central United States</x:v>
      </x:c>
      <x:c r="C6" s="24" t="str">
        <x:v>Use verified US state or institutional location.</x:v>
      </x:c>
    </x:row>
    <x:row r="7">
      <x:c r="A7" s="23" t="str">
        <x:v>USA Mountain</x:v>
      </x:c>
      <x:c r="B7" s="24" t="str">
        <x:v>Mountain-region United States</x:v>
      </x:c>
      <x:c r="C7" s="24" t="str">
        <x:v>Use verified US state or institutional location.</x:v>
      </x:c>
    </x:row>
    <x:row r="8">
      <x:c r="A8" s="23" t="str">
        <x:v>USA Western</x:v>
      </x:c>
      <x:c r="B8" s="24" t="str">
        <x:v>Western United States</x:v>
      </x:c>
      <x:c r="C8" s="24" t="str">
        <x:v>Use verified US state or institutional location.</x:v>
      </x:c>
    </x:row>
    <x:row r="9">
      <x:c r="A9" s="23" t="str">
        <x:v>Canada</x:v>
      </x:c>
      <x:c r="B9" s="24" t="str">
        <x:v>Canada</x:v>
      </x:c>
      <x:c r="C9" s="24" t="str">
        <x:v>Do not subdivide by province or city.</x:v>
      </x:c>
    </x:row>
    <x:row r="10">
      <x:c r="A10" s="23" t="str">
        <x:v>Latin America and Caribbean</x:v>
      </x:c>
      <x:c r="B10" s="24" t="str">
        <x:v>Mexico, Central America, South America and the Caribbean</x:v>
      </x:c>
      <x:c r="C10" s="24" t="str">
        <x:v>Use verified country or institutional location.</x:v>
      </x:c>
    </x:row>
    <x:row r="11">
      <x:c r="A11" s="23" t="str">
        <x:v>Europe</x:v>
      </x:c>
      <x:c r="B11" s="24" t="str">
        <x:v>European countries, including the United Kingdom</x:v>
      </x:c>
      <x:c r="C11" s="24" t="str">
        <x:v>Use verified country or institutional location.</x:v>
      </x:c>
    </x:row>
    <x:row r="12">
      <x:c r="A12" s="23" t="str">
        <x:v>Middle East and North Africa</x:v>
      </x:c>
      <x:c r="B12" s="24" t="str">
        <x:v>Middle Eastern and North African countries</x:v>
      </x:c>
      <x:c r="C12" s="24" t="str">
        <x:v>Use verified country or institutional location.</x:v>
      </x:c>
    </x:row>
    <x:row r="13">
      <x:c r="A13" s="23" t="str">
        <x:v>Sub-Saharan Africa</x:v>
      </x:c>
      <x:c r="B13" s="24" t="str">
        <x:v>African countries south of the Sahara</x:v>
      </x:c>
      <x:c r="C13" s="24" t="str">
        <x:v>Use verified country or institutional location.</x:v>
      </x:c>
    </x:row>
    <x:row r="14">
      <x:c r="A14" s="23" t="str">
        <x:v>South Asia</x:v>
      </x:c>
      <x:c r="B14" s="24" t="str">
        <x:v>South Asian countries</x:v>
      </x:c>
      <x:c r="C14" s="24" t="str">
        <x:v>Use verified country or institutional location.</x:v>
      </x:c>
    </x:row>
    <x:row r="15">
      <x:c r="A15" s="23" t="str">
        <x:v>East and Southeast Asia</x:v>
      </x:c>
      <x:c r="B15" s="24" t="str">
        <x:v>East and Southeast Asian countries</x:v>
      </x:c>
      <x:c r="C15" s="24" t="str">
        <x:v>Use verified country or institutional location.</x:v>
      </x:c>
    </x:row>
    <x:row r="16">
      <x:c r="A16" s="23" t="str">
        <x:v>Oceania</x:v>
      </x:c>
      <x:c r="B16" s="24" t="str">
        <x:v>Australia, New Zealand and Pacific countries</x:v>
      </x:c>
      <x:c r="C16" s="24" t="str">
        <x:v>Use verified country or institutional location.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91350931b0704f69"/>
  </x:tableParts>
</x:worksheet>
</file>